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ocuments\"/>
    </mc:Choice>
  </mc:AlternateContent>
  <xr:revisionPtr revIDLastSave="0" documentId="13_ncr:1_{1614F412-9F0F-4BC0-B2C3-C4B73FD56B92}" xr6:coauthVersionLast="47" xr6:coauthVersionMax="47" xr10:uidLastSave="{00000000-0000-0000-0000-000000000000}"/>
  <bookViews>
    <workbookView xWindow="-108" yWindow="-108" windowWidth="23256" windowHeight="12456" firstSheet="2" activeTab="10" xr2:uid="{CBFAF4E6-48A4-4380-9C95-3C07210312DA}"/>
  </bookViews>
  <sheets>
    <sheet name="Max-Min" sheetId="1" r:id="rId1"/>
    <sheet name="IF-IFS" sheetId="2" r:id="rId2"/>
    <sheet name="Len" sheetId="3" r:id="rId3"/>
    <sheet name="LeftRight" sheetId="4" r:id="rId4"/>
    <sheet name="DateToText" sheetId="5" r:id="rId5"/>
    <sheet name="TRIM" sheetId="6" r:id="rId6"/>
    <sheet name="CONCAT" sheetId="7" r:id="rId7"/>
    <sheet name="Substitute" sheetId="8" r:id="rId8"/>
    <sheet name="SUM-SumIF" sheetId="9" r:id="rId9"/>
    <sheet name="Count-CountIF" sheetId="10" r:id="rId10"/>
    <sheet name="Days-NetworkDay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1" l="1"/>
  <c r="K4" i="11"/>
  <c r="K5" i="11"/>
  <c r="K6" i="11"/>
  <c r="K7" i="11"/>
  <c r="K8" i="11"/>
  <c r="K9" i="11"/>
  <c r="K10" i="11"/>
  <c r="K2" i="11"/>
  <c r="J3" i="11"/>
  <c r="J4" i="11"/>
  <c r="J5" i="11"/>
  <c r="J6" i="11"/>
  <c r="J7" i="11"/>
  <c r="J8" i="11"/>
  <c r="J9" i="11"/>
  <c r="J10" i="11"/>
  <c r="J2" i="11"/>
  <c r="L2" i="10"/>
  <c r="K2" i="10"/>
  <c r="J2" i="10"/>
  <c r="L2" i="9"/>
  <c r="K2" i="9"/>
  <c r="J2" i="9"/>
  <c r="K2" i="8" a="1"/>
  <c r="K2" i="8" s="1"/>
  <c r="J2" i="8" a="1"/>
  <c r="J2" i="8" s="1"/>
  <c r="L2" i="8" a="1"/>
  <c r="L2" i="8" s="1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J2" i="6" a="1"/>
  <c r="J2" i="6" s="1"/>
  <c r="L2" i="5" a="1"/>
  <c r="L2" i="5" s="1"/>
  <c r="K2" i="5" a="1"/>
  <c r="K2" i="5" s="1"/>
  <c r="M2" i="4" a="1"/>
  <c r="M2" i="4" s="1"/>
  <c r="L2" i="4" a="1"/>
  <c r="L2" i="4" s="1"/>
  <c r="K2" i="4" a="1"/>
  <c r="K2" i="4" s="1"/>
  <c r="J2" i="3" a="1"/>
  <c r="J2" i="3" s="1"/>
  <c r="K2" i="2" a="1"/>
  <c r="K2" i="2" s="1"/>
  <c r="J2" i="2" a="1"/>
  <c r="J2" i="2" s="1"/>
  <c r="K3" i="1"/>
  <c r="J3" i="1"/>
  <c r="K2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<sst xmlns="http://schemas.openxmlformats.org/spreadsheetml/2006/main" count="613" uniqueCount="92">
  <si>
    <t>LastName</t>
  </si>
  <si>
    <t>EmployeeID</t>
  </si>
  <si>
    <t>FirstName</t>
  </si>
  <si>
    <t>Age</t>
  </si>
  <si>
    <t>Gender</t>
  </si>
  <si>
    <t>JobTitle</t>
  </si>
  <si>
    <t>Salary</t>
  </si>
  <si>
    <t>StartDate</t>
  </si>
  <si>
    <t>EndDate</t>
  </si>
  <si>
    <t>Jim</t>
  </si>
  <si>
    <t>Pam</t>
  </si>
  <si>
    <t>Dwight</t>
  </si>
  <si>
    <t>Angela</t>
  </si>
  <si>
    <t>Toby</t>
  </si>
  <si>
    <t>Michael</t>
  </si>
  <si>
    <t>Meredith</t>
  </si>
  <si>
    <t>Stanley</t>
  </si>
  <si>
    <t>Kevin</t>
  </si>
  <si>
    <t>Halpert</t>
  </si>
  <si>
    <t>Beasley</t>
  </si>
  <si>
    <t>Schrute</t>
  </si>
  <si>
    <t>Martin</t>
  </si>
  <si>
    <t>Flenderson</t>
  </si>
  <si>
    <t>Scott</t>
  </si>
  <si>
    <t>Palmer</t>
  </si>
  <si>
    <t>Hudson</t>
  </si>
  <si>
    <t>Malone</t>
  </si>
  <si>
    <t>Male</t>
  </si>
  <si>
    <t>Female</t>
  </si>
  <si>
    <t>Salesman</t>
  </si>
  <si>
    <t>Receptionist</t>
  </si>
  <si>
    <t>Accountant</t>
  </si>
  <si>
    <t>HR</t>
  </si>
  <si>
    <t>Regional Manager</t>
  </si>
  <si>
    <t>Max</t>
  </si>
  <si>
    <t>Min</t>
  </si>
  <si>
    <t>IF</t>
  </si>
  <si>
    <t>IFS</t>
  </si>
  <si>
    <t>Supplier Relations</t>
  </si>
  <si>
    <t>LEN(B2)</t>
  </si>
  <si>
    <t>Can be used to see diffrence between 100s and thousands. Can find bad Social Security numbers if they're 10 digits instead of 9</t>
  </si>
  <si>
    <t>Left</t>
  </si>
  <si>
    <t>Right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</si>
  <si>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</si>
  <si>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</si>
  <si>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</si>
  <si>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</si>
  <si>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</si>
  <si>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</si>
  <si>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</si>
  <si>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</si>
  <si>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</si>
  <si>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</si>
  <si>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TEXT(H2,"dd/mm/yyyy")</t>
  </si>
  <si>
    <t>YEAR</t>
  </si>
  <si>
    <t>RIGHT</t>
  </si>
  <si>
    <t>TRIM(C2)</t>
  </si>
  <si>
    <t>It just removes unwanted spaces on both sides</t>
  </si>
  <si>
    <t xml:space="preserve"> Schrute</t>
  </si>
  <si>
    <t xml:space="preserve">  Scott</t>
  </si>
  <si>
    <t xml:space="preserve"> Hudson</t>
  </si>
  <si>
    <t>CONCATENATE(B2," ",C2)</t>
  </si>
  <si>
    <t>Create emails using concat</t>
  </si>
  <si>
    <t>with 1 instance</t>
  </si>
  <si>
    <t>with 2 instances</t>
  </si>
  <si>
    <t>with NO instances</t>
  </si>
  <si>
    <t>11/2/2001</t>
  </si>
  <si>
    <t>10/3/1999</t>
  </si>
  <si>
    <t>7/4/2000</t>
  </si>
  <si>
    <t>1/5/2000</t>
  </si>
  <si>
    <t>5/6/2001</t>
  </si>
  <si>
    <t>12/7/1995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</si>
  <si>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</si>
  <si>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</si>
  <si>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</si>
  <si>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</si>
  <si>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</si>
  <si>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</si>
  <si>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</si>
  <si>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</si>
  <si>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</si>
  <si>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10/4/2013</t>
  </si>
  <si>
    <t>4/22/2105</t>
  </si>
  <si>
    <t>9/14/2011</t>
  </si>
  <si>
    <t>SUM</t>
  </si>
  <si>
    <t>SUMIF</t>
  </si>
  <si>
    <t>SUMIFS</t>
  </si>
  <si>
    <t>COUNT</t>
  </si>
  <si>
    <t>COUNTIF</t>
  </si>
  <si>
    <t>COUNTIFS</t>
  </si>
  <si>
    <t>DAYS</t>
  </si>
  <si>
    <t>NETWORKDAYS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</si>
</sst>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213E-FC23-4058-9FC6-B12848531D82}">
  <dimension ref="A1:K10"/>
  <sheetViews>
    <sheetView workbookViewId="0">
      <selection activeCell="I3" sqref="I3"/>
    </sheetView>
  </sheetViews>
  <sheetFormatPr defaultRowHeight="14.4" x14ac:dyDescent="0.3"/>
  <cols>
    <col min="1" max="3" width="17.88671875" customWidth="1"/>
    <col min="4" max="4" width="11.44140625" customWidth="1"/>
    <col min="5" max="7" width="17.88671875" customWidth="1"/>
    <col min="8" max="8" width="18.5546875" customWidth="1"/>
    <col min="9" max="9" width="17.88671875" customWidth="1"/>
    <col min="10" max="11" width="17.109375" customWidth="1"/>
  </cols>
  <sheetData>
    <row r="1" spans="1:11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34</v>
      </c>
      <c r="K1" t="s">
        <v>35</v>
      </c>
    </row>
    <row r="2" spans="1:11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1">
        <v>37416</v>
      </c>
      <c r="I9" s="1">
        <v>74988</v>
      </c>
    </row>
    <row r="10" spans="1:11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EECC-675B-4510-A07F-A656273F9DB7}">
  <dimension ref="A1:K10"/>
  <sheetViews>
    <sheetView workbookViewId="0">
      <selection activeCell="F8" sqref="F8"/>
    </sheetView>
  </sheetViews>
  <sheetFormatPr defaultRowHeight="14.4" x14ac:dyDescent="0.3"/>
  <cols>
    <col min="1" max="10" width="16.5546875" customWidth="1"/>
    <col min="11" max="11" width="22.33203125" customWidth="1"/>
    <col min="12" max="12" width="16.5546875" customWidth="1"/>
  </cols>
  <sheetData>
    <row r="1" spans="1:11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</v>
      </c>
      <c r="K1" t="s">
        <v>37</v>
      </c>
    </row>
    <row r="2" spans="1:11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 Immediately",F2:F10="Regional Manager","Give Christmas Bonus")</f>
        <v>Sales</v>
      </c>
    </row>
    <row r="3" spans="1:11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1">
        <v>37416</v>
      </c>
      <c r="I9" s="1">
        <v>74988</v>
      </c>
      <c r="J9" t="str">
        <v>Old</v>
      </c>
      <c r="K9" t="str">
        <v>Sales</v>
      </c>
    </row>
    <row r="10" spans="1:11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1221-034F-48F6-B645-6EA7D102513E}">
  <dimension ref="A1:K10"/>
  <sheetViews>
    <sheetView workbookViewId="0">
      <selection sqref="A1:I10"/>
    </sheetView>
  </sheetViews>
  <sheetFormatPr defaultRowHeight="14.4" x14ac:dyDescent="0.3"/>
  <cols>
    <col min="1" max="11" width="15.33203125" customWidth="1"/>
  </cols>
  <sheetData>
    <row r="1" spans="1:11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39</v>
      </c>
      <c r="K1" t="s">
        <v>40</v>
      </c>
    </row>
    <row r="2" spans="1:11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1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1">
        <v>36436</v>
      </c>
      <c r="I3" s="1">
        <v>42287</v>
      </c>
      <c r="J3">
        <v>7</v>
      </c>
    </row>
    <row r="4" spans="1:11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1">
        <v>36711</v>
      </c>
      <c r="I4" s="1">
        <v>42986</v>
      </c>
      <c r="J4">
        <v>7</v>
      </c>
    </row>
    <row r="5" spans="1:11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1">
        <v>36530</v>
      </c>
      <c r="I5" s="1">
        <v>42341</v>
      </c>
      <c r="J5">
        <v>6</v>
      </c>
    </row>
    <row r="6" spans="1:11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1">
        <v>37017</v>
      </c>
      <c r="I6" s="1">
        <v>42977</v>
      </c>
      <c r="J6">
        <v>10</v>
      </c>
    </row>
    <row r="7" spans="1:11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1">
        <v>35040</v>
      </c>
      <c r="I7" s="1">
        <v>41528</v>
      </c>
      <c r="J7">
        <v>5</v>
      </c>
    </row>
    <row r="8" spans="1:11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1">
        <v>37933</v>
      </c>
      <c r="I8" s="1">
        <v>41551</v>
      </c>
      <c r="J8">
        <v>6</v>
      </c>
    </row>
    <row r="9" spans="1:11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1">
        <v>37416</v>
      </c>
      <c r="I9" s="1">
        <v>74988</v>
      </c>
      <c r="J9">
        <v>6</v>
      </c>
    </row>
    <row r="10" spans="1:11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BA92-8EE7-4362-B2F0-37AC878D21A0}">
  <dimension ref="A1:M14"/>
  <sheetViews>
    <sheetView workbookViewId="0">
      <selection sqref="A1:I10"/>
    </sheetView>
  </sheetViews>
  <sheetFormatPr defaultRowHeight="14.4" x14ac:dyDescent="0.3"/>
  <cols>
    <col min="1" max="9" width="16.44140625" customWidth="1"/>
    <col min="10" max="10" width="40" customWidth="1"/>
    <col min="11" max="13" width="15.109375" customWidth="1"/>
  </cols>
  <sheetData>
    <row r="1" spans="1:13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43</v>
      </c>
      <c r="K1" t="s">
        <v>41</v>
      </c>
      <c r="L1" t="s">
        <v>42</v>
      </c>
      <c r="M1" t="s">
        <v>54</v>
      </c>
    </row>
    <row r="2" spans="1:13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1">
        <v>37197</v>
      </c>
      <c r="I2" s="1">
        <v>42253</v>
      </c>
      <c r="J2" t="s">
        <v>44</v>
      </c>
      <c r="K2" t="str" cm="1">
        <f t="array" ref="K2:K10">LEFT(B2:B10,3)</f>
        <v>Jim</v>
      </c>
      <c r="L2" t="str" cm="1">
        <f t="array" ref="L2:L10">RIGHT(A2:A10,1)</f>
        <v>1</v>
      </c>
      <c r="M2" cm="1">
        <f t="array" ref="M2:M10">YEAR(H2:H10)</f>
        <v>2001</v>
      </c>
    </row>
    <row r="3" spans="1:13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1">
        <v>36436</v>
      </c>
      <c r="I3" s="1">
        <v>42287</v>
      </c>
      <c r="J3" t="s">
        <v>45</v>
      </c>
      <c r="K3" t="str">
        <v>Pam</v>
      </c>
      <c r="L3" t="str">
        <v>2</v>
      </c>
      <c r="M3">
        <v>1999</v>
      </c>
    </row>
    <row r="4" spans="1:13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1">
        <v>36711</v>
      </c>
      <c r="I4" s="1">
        <v>42986</v>
      </c>
      <c r="J4" t="s">
        <v>46</v>
      </c>
      <c r="K4" t="str">
        <v>Dwi</v>
      </c>
      <c r="L4" t="str">
        <v>3</v>
      </c>
      <c r="M4">
        <v>2000</v>
      </c>
    </row>
    <row r="5" spans="1:13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1">
        <v>36530</v>
      </c>
      <c r="I5" s="1">
        <v>42341</v>
      </c>
      <c r="J5" t="s">
        <v>47</v>
      </c>
      <c r="K5" t="str">
        <v>Ang</v>
      </c>
      <c r="L5" t="str">
        <v>4</v>
      </c>
      <c r="M5">
        <v>2000</v>
      </c>
    </row>
    <row r="6" spans="1:13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1">
        <v>37017</v>
      </c>
      <c r="I6" s="1">
        <v>42977</v>
      </c>
      <c r="J6" t="s">
        <v>48</v>
      </c>
      <c r="K6" t="str">
        <v>Tob</v>
      </c>
      <c r="L6" t="str">
        <v>5</v>
      </c>
      <c r="M6">
        <v>2001</v>
      </c>
    </row>
    <row r="7" spans="1:13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1">
        <v>35040</v>
      </c>
      <c r="I7" s="1">
        <v>41528</v>
      </c>
      <c r="J7" t="s">
        <v>49</v>
      </c>
      <c r="K7" t="str">
        <v>Mic</v>
      </c>
      <c r="L7" t="str">
        <v>6</v>
      </c>
      <c r="M7">
        <v>1995</v>
      </c>
    </row>
    <row r="8" spans="1:13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1">
        <v>37933</v>
      </c>
      <c r="I8" s="1">
        <v>41551</v>
      </c>
      <c r="J8" t="s">
        <v>50</v>
      </c>
      <c r="K8" t="str">
        <v>Mer</v>
      </c>
      <c r="L8" t="str">
        <v>7</v>
      </c>
      <c r="M8">
        <v>2003</v>
      </c>
    </row>
    <row r="9" spans="1:13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1">
        <v>37416</v>
      </c>
      <c r="I9" s="1">
        <v>74988</v>
      </c>
      <c r="J9" t="s">
        <v>51</v>
      </c>
      <c r="K9" t="str">
        <v>Sta</v>
      </c>
      <c r="L9" t="str">
        <v>8</v>
      </c>
      <c r="M9">
        <v>2002</v>
      </c>
    </row>
    <row r="10" spans="1:13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1">
        <v>37843</v>
      </c>
      <c r="I10" s="1">
        <v>40800</v>
      </c>
      <c r="J10" t="s">
        <v>52</v>
      </c>
      <c r="K10" t="str">
        <v>Kev</v>
      </c>
      <c r="L10" t="str">
        <v>9</v>
      </c>
      <c r="M10">
        <v>2003</v>
      </c>
    </row>
    <row r="14" spans="1:13" x14ac:dyDescent="0.3">
      <c r="H14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2738-3BE4-4AAD-A66B-41C44DF8758B}">
  <dimension ref="A1:L10"/>
  <sheetViews>
    <sheetView topLeftCell="C1" workbookViewId="0">
      <selection activeCell="K2" sqref="K2:K10"/>
    </sheetView>
  </sheetViews>
  <sheetFormatPr defaultRowHeight="14.4" x14ac:dyDescent="0.3"/>
  <cols>
    <col min="1" max="5" width="14.44140625" customWidth="1"/>
    <col min="6" max="6" width="16.77734375" customWidth="1"/>
    <col min="7" max="9" width="14.44140625" customWidth="1"/>
    <col min="10" max="10" width="40" customWidth="1"/>
    <col min="11" max="11" width="26.6640625" customWidth="1"/>
    <col min="12" max="12" width="16.44140625" customWidth="1"/>
  </cols>
  <sheetData>
    <row r="1" spans="1:12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43</v>
      </c>
      <c r="K1" t="s">
        <v>53</v>
      </c>
      <c r="L1" t="s">
        <v>55</v>
      </c>
    </row>
    <row r="2" spans="1:12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1">
        <v>37197</v>
      </c>
      <c r="I2" s="1">
        <v>42253</v>
      </c>
      <c r="J2" t="s">
        <v>44</v>
      </c>
      <c r="K2" t="str" cm="1">
        <f t="array" ref="K2:K10">TEXT(H2:H10,"dd/mm/yyyy")</f>
        <v>02/11/2001</v>
      </c>
      <c r="L2" t="str" cm="1">
        <f t="array" ref="L2:L10">RIGHT(_xlfn.ANCHORARRAY(K2),4)</f>
        <v>2001</v>
      </c>
    </row>
    <row r="3" spans="1:12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1">
        <v>36436</v>
      </c>
      <c r="I3" s="1">
        <v>42287</v>
      </c>
      <c r="J3" t="s">
        <v>45</v>
      </c>
      <c r="K3" t="str">
        <v>03/10/1999</v>
      </c>
      <c r="L3" t="str">
        <v>1999</v>
      </c>
    </row>
    <row r="4" spans="1:12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1">
        <v>36711</v>
      </c>
      <c r="I4" s="1">
        <v>42986</v>
      </c>
      <c r="J4" t="s">
        <v>46</v>
      </c>
      <c r="K4" t="str">
        <v>04/07/2000</v>
      </c>
      <c r="L4" t="str">
        <v>2000</v>
      </c>
    </row>
    <row r="5" spans="1:12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1">
        <v>36530</v>
      </c>
      <c r="I5" s="1">
        <v>42341</v>
      </c>
      <c r="J5" t="s">
        <v>47</v>
      </c>
      <c r="K5" t="str">
        <v>05/01/2000</v>
      </c>
      <c r="L5" t="str">
        <v>2000</v>
      </c>
    </row>
    <row r="6" spans="1:12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1">
        <v>37017</v>
      </c>
      <c r="I6" s="1">
        <v>42977</v>
      </c>
      <c r="J6" t="s">
        <v>48</v>
      </c>
      <c r="K6" t="str">
        <v>06/05/2001</v>
      </c>
      <c r="L6" t="str">
        <v>2001</v>
      </c>
    </row>
    <row r="7" spans="1:12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1">
        <v>35040</v>
      </c>
      <c r="I7" s="1">
        <v>41528</v>
      </c>
      <c r="J7" t="s">
        <v>49</v>
      </c>
      <c r="K7" t="str">
        <v>07/12/1995</v>
      </c>
      <c r="L7" t="str">
        <v>1995</v>
      </c>
    </row>
    <row r="8" spans="1:12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1">
        <v>37933</v>
      </c>
      <c r="I8" s="1">
        <v>41551</v>
      </c>
      <c r="J8" t="s">
        <v>50</v>
      </c>
      <c r="K8" t="str">
        <v>08/11/2003</v>
      </c>
      <c r="L8" t="str">
        <v>2003</v>
      </c>
    </row>
    <row r="9" spans="1:12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1">
        <v>37416</v>
      </c>
      <c r="I9" s="1">
        <v>74988</v>
      </c>
      <c r="J9" t="s">
        <v>51</v>
      </c>
      <c r="K9" t="str">
        <v>09/06/2002</v>
      </c>
      <c r="L9" t="str">
        <v>2002</v>
      </c>
    </row>
    <row r="10" spans="1:12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1">
        <v>37843</v>
      </c>
      <c r="I10" s="1">
        <v>40800</v>
      </c>
      <c r="J10" t="s">
        <v>52</v>
      </c>
      <c r="K10" t="str">
        <v>10/08/2003</v>
      </c>
      <c r="L10" t="str">
        <v>2003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A38F-6D87-4A9D-9B76-141450082ADF}">
  <dimension ref="A1:K10"/>
  <sheetViews>
    <sheetView workbookViewId="0">
      <selection activeCell="J3" sqref="J3"/>
    </sheetView>
  </sheetViews>
  <sheetFormatPr defaultRowHeight="14.4" x14ac:dyDescent="0.3"/>
  <cols>
    <col min="1" max="9" width="15.33203125" customWidth="1"/>
    <col min="10" max="10" width="12.44140625" customWidth="1"/>
  </cols>
  <sheetData>
    <row r="1" spans="1:11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56</v>
      </c>
      <c r="K1" t="s">
        <v>57</v>
      </c>
    </row>
    <row r="2" spans="1:11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t="s">
        <v>11</v>
      </c>
      <c r="C4" t="s">
        <v>58</v>
      </c>
      <c r="D4">
        <v>29</v>
      </c>
      <c r="E4" t="s">
        <v>27</v>
      </c>
      <c r="F4" t="s">
        <v>29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t="s">
        <v>14</v>
      </c>
      <c r="C7" t="s">
        <v>59</v>
      </c>
      <c r="D7">
        <v>35</v>
      </c>
      <c r="E7" t="s">
        <v>27</v>
      </c>
      <c r="F7" t="s">
        <v>33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t="s">
        <v>16</v>
      </c>
      <c r="C9" t="s">
        <v>60</v>
      </c>
      <c r="D9">
        <v>38</v>
      </c>
      <c r="E9" t="s">
        <v>27</v>
      </c>
      <c r="F9" t="s">
        <v>29</v>
      </c>
      <c r="G9">
        <v>48000</v>
      </c>
      <c r="H9" s="1">
        <v>37416</v>
      </c>
      <c r="I9" s="1">
        <v>74988</v>
      </c>
      <c r="J9" t="str">
        <v>Hudson</v>
      </c>
    </row>
    <row r="10" spans="1:11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FD1E-687A-486B-9F4B-EC86C1021195}">
  <dimension ref="A1:K10"/>
  <sheetViews>
    <sheetView topLeftCell="D1" workbookViewId="0">
      <selection activeCell="I1" sqref="I1:I10"/>
    </sheetView>
  </sheetViews>
  <sheetFormatPr defaultRowHeight="14.4" x14ac:dyDescent="0.3"/>
  <cols>
    <col min="1" max="9" width="15.33203125" customWidth="1"/>
    <col min="10" max="10" width="29" customWidth="1"/>
    <col min="11" max="11" width="27.77734375" customWidth="1"/>
    <col min="12" max="13" width="14.109375" customWidth="1"/>
    <col min="14" max="14" width="16" customWidth="1"/>
  </cols>
  <sheetData>
    <row r="1" spans="1:11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</v>
      </c>
      <c r="K1" t="s">
        <v>62</v>
      </c>
    </row>
    <row r="2" spans="1:11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1">
        <v>37416</v>
      </c>
      <c r="I9" s="1">
        <v>74988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93E-1D50-44E2-8D55-5765D58227C4}">
  <dimension ref="A1:L10"/>
  <sheetViews>
    <sheetView workbookViewId="0">
      <selection sqref="A1:I10"/>
    </sheetView>
  </sheetViews>
  <sheetFormatPr defaultRowHeight="14.4" x14ac:dyDescent="0.3"/>
  <cols>
    <col min="1" max="9" width="16.5546875" customWidth="1"/>
    <col min="10" max="12" width="15.109375" customWidth="1"/>
  </cols>
  <sheetData>
    <row r="1" spans="1:12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63</v>
      </c>
      <c r="K1" t="s">
        <v>64</v>
      </c>
      <c r="L1" t="s">
        <v>65</v>
      </c>
    </row>
    <row r="2" spans="1:12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2" t="s">
        <v>66</v>
      </c>
      <c r="I2" s="2" t="s">
        <v>75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2" t="s">
        <v>67</v>
      </c>
      <c r="I3" s="2" t="s">
        <v>76</v>
      </c>
      <c r="J3" t="str">
        <v>10-3/1999</v>
      </c>
      <c r="K3" t="str">
        <v>10/3-1999</v>
      </c>
      <c r="L3" t="str">
        <v>10-3-1999</v>
      </c>
    </row>
    <row r="4" spans="1:12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2" t="s">
        <v>68</v>
      </c>
      <c r="I4" s="2" t="s">
        <v>77</v>
      </c>
      <c r="J4" t="str">
        <v>7-4/2000</v>
      </c>
      <c r="K4" t="str">
        <v>7/4-2000</v>
      </c>
      <c r="L4" t="str">
        <v>7-4-2000</v>
      </c>
    </row>
    <row r="5" spans="1:12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2" t="s">
        <v>69</v>
      </c>
      <c r="I5" s="2" t="s">
        <v>78</v>
      </c>
      <c r="J5" t="str">
        <v>1-5/2000</v>
      </c>
      <c r="K5" t="str">
        <v>1/5-2000</v>
      </c>
      <c r="L5" t="str">
        <v>1-5-2000</v>
      </c>
    </row>
    <row r="6" spans="1:12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2" t="s">
        <v>70</v>
      </c>
      <c r="I6" s="2" t="s">
        <v>79</v>
      </c>
      <c r="J6" t="str">
        <v>5-6/2001</v>
      </c>
      <c r="K6" t="str">
        <v>5/6-2001</v>
      </c>
      <c r="L6" t="str">
        <v>5-6-2001</v>
      </c>
    </row>
    <row r="7" spans="1:12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2" t="s">
        <v>71</v>
      </c>
      <c r="I7" s="2" t="s">
        <v>80</v>
      </c>
      <c r="J7" t="str">
        <v>12-7/1995</v>
      </c>
      <c r="K7" t="str">
        <v>12/7-1995</v>
      </c>
      <c r="L7" t="str">
        <v>12-7-1995</v>
      </c>
    </row>
    <row r="8" spans="1:12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2" t="s">
        <v>72</v>
      </c>
      <c r="I8" s="2" t="s">
        <v>81</v>
      </c>
      <c r="J8" t="str">
        <v>11-8/2003</v>
      </c>
      <c r="K8" t="str">
        <v>11/8-2003</v>
      </c>
      <c r="L8" t="str">
        <v>11-8-2003</v>
      </c>
    </row>
    <row r="9" spans="1:12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2" t="s">
        <v>73</v>
      </c>
      <c r="I9" s="2" t="s">
        <v>82</v>
      </c>
      <c r="J9" t="str">
        <v>6-9/2002</v>
      </c>
      <c r="K9" t="str">
        <v>6/9-2002</v>
      </c>
      <c r="L9" t="str">
        <v>6-9-2002</v>
      </c>
    </row>
    <row r="10" spans="1:12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2" t="s">
        <v>74</v>
      </c>
      <c r="I10" s="2" t="s">
        <v>83</v>
      </c>
      <c r="J10" t="str">
        <v>8-10/2003</v>
      </c>
      <c r="K10" t="str">
        <v>8/10-2003</v>
      </c>
      <c r="L10" t="str">
        <v>8-10-2003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D08C-3098-4A98-A93D-0A48BEFB8CB5}">
  <dimension ref="A1:L10"/>
  <sheetViews>
    <sheetView workbookViewId="0">
      <selection sqref="A1:I10"/>
    </sheetView>
  </sheetViews>
  <sheetFormatPr defaultRowHeight="14.4" x14ac:dyDescent="0.3"/>
  <cols>
    <col min="1" max="9" width="16.33203125" customWidth="1"/>
    <col min="10" max="12" width="13.6640625" customWidth="1"/>
  </cols>
  <sheetData>
    <row r="1" spans="1:12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84</v>
      </c>
      <c r="K1" t="s">
        <v>85</v>
      </c>
      <c r="L1" t="s">
        <v>86</v>
      </c>
    </row>
    <row r="2" spans="1:12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2" t="s">
        <v>66</v>
      </c>
      <c r="I2" s="2" t="s">
        <v>75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2" t="s">
        <v>67</v>
      </c>
      <c r="I3" s="2" t="s">
        <v>76</v>
      </c>
    </row>
    <row r="4" spans="1:12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2" t="s">
        <v>68</v>
      </c>
      <c r="I4" s="2" t="s">
        <v>77</v>
      </c>
    </row>
    <row r="5" spans="1:12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2" t="s">
        <v>69</v>
      </c>
      <c r="I5" s="2" t="s">
        <v>78</v>
      </c>
    </row>
    <row r="6" spans="1:12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2" t="s">
        <v>70</v>
      </c>
      <c r="I6" s="2" t="s">
        <v>79</v>
      </c>
    </row>
    <row r="7" spans="1:12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2" t="s">
        <v>71</v>
      </c>
      <c r="I7" s="2" t="s">
        <v>80</v>
      </c>
    </row>
    <row r="8" spans="1:12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2" t="s">
        <v>72</v>
      </c>
      <c r="I8" s="2" t="s">
        <v>81</v>
      </c>
    </row>
    <row r="9" spans="1:12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2" t="s">
        <v>73</v>
      </c>
      <c r="I9" s="2" t="s">
        <v>82</v>
      </c>
    </row>
    <row r="10" spans="1:12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2" t="s">
        <v>74</v>
      </c>
      <c r="I10" s="2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2409-D823-4F1E-9F61-51584B98D285}">
  <dimension ref="A1:L10"/>
  <sheetViews>
    <sheetView workbookViewId="0">
      <selection activeCell="H19" sqref="H19"/>
    </sheetView>
  </sheetViews>
  <sheetFormatPr defaultRowHeight="14.4" x14ac:dyDescent="0.3"/>
  <cols>
    <col min="1" max="9" width="15.6640625" customWidth="1"/>
    <col min="10" max="12" width="10" customWidth="1"/>
  </cols>
  <sheetData>
    <row r="1" spans="1:12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87</v>
      </c>
      <c r="K1" t="s">
        <v>88</v>
      </c>
      <c r="L1" t="s">
        <v>89</v>
      </c>
    </row>
    <row r="2" spans="1:12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2" t="s">
        <v>66</v>
      </c>
      <c r="I2" s="2" t="s">
        <v>75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2" t="s">
        <v>67</v>
      </c>
      <c r="I3" s="2" t="s">
        <v>76</v>
      </c>
    </row>
    <row r="4" spans="1:12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2" t="s">
        <v>68</v>
      </c>
      <c r="I4" s="2" t="s">
        <v>77</v>
      </c>
    </row>
    <row r="5" spans="1:12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2" t="s">
        <v>69</v>
      </c>
      <c r="I5" s="2" t="s">
        <v>78</v>
      </c>
    </row>
    <row r="6" spans="1:12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2" t="s">
        <v>70</v>
      </c>
      <c r="I6" s="2" t="s">
        <v>79</v>
      </c>
    </row>
    <row r="7" spans="1:12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2" t="s">
        <v>71</v>
      </c>
      <c r="I7" s="2" t="s">
        <v>80</v>
      </c>
    </row>
    <row r="8" spans="1:12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2" t="s">
        <v>72</v>
      </c>
      <c r="I8" s="2" t="s">
        <v>81</v>
      </c>
    </row>
    <row r="9" spans="1:12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2" t="s">
        <v>73</v>
      </c>
      <c r="I9" s="2" t="s">
        <v>82</v>
      </c>
    </row>
    <row r="10" spans="1:12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2" t="s">
        <v>74</v>
      </c>
      <c r="I10" s="2" t="s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5CB7-1F76-47FA-9B7E-F2308DF93E80}">
  <dimension ref="A1:K10"/>
  <sheetViews>
    <sheetView tabSelected="1" workbookViewId="0">
      <selection activeCell="H14" sqref="H14"/>
    </sheetView>
  </sheetViews>
  <sheetFormatPr defaultRowHeight="14.4" x14ac:dyDescent="0.3"/>
  <cols>
    <col min="1" max="9" width="16.6640625" customWidth="1"/>
    <col min="10" max="10" width="8.77734375" customWidth="1"/>
    <col min="11" max="11" width="15" customWidth="1"/>
  </cols>
  <sheetData>
    <row r="1" spans="1:11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90</v>
      </c>
      <c r="K1" t="s">
        <v>91</v>
      </c>
    </row>
    <row r="2" spans="1:11" x14ac:dyDescent="0.3">
      <c r="A2">
        <v>1001</v>
      </c>
      <c r="B2" t="s">
        <v>9</v>
      </c>
      <c r="C2" t="s">
        <v>18</v>
      </c>
      <c r="D2">
        <v>30</v>
      </c>
      <c r="E2" t="s">
        <v>27</v>
      </c>
      <c r="F2" t="s">
        <v>29</v>
      </c>
      <c r="G2">
        <v>45000</v>
      </c>
      <c r="H2" s="2" t="s">
        <v>66</v>
      </c>
      <c r="I2" s="2" t="s">
        <v>75</v>
      </c>
      <c r="J2">
        <f>_xlfn.DAYS(I2,H2)</f>
        <v>5056</v>
      </c>
      <c r="K2">
        <f>NETWORKDAYS(H2,I2)</f>
        <v>3611</v>
      </c>
    </row>
    <row r="3" spans="1:11" x14ac:dyDescent="0.3">
      <c r="A3">
        <v>1002</v>
      </c>
      <c r="B3" t="s">
        <v>10</v>
      </c>
      <c r="C3" t="s">
        <v>19</v>
      </c>
      <c r="D3">
        <v>30</v>
      </c>
      <c r="E3" t="s">
        <v>28</v>
      </c>
      <c r="F3" t="s">
        <v>30</v>
      </c>
      <c r="G3">
        <v>36000</v>
      </c>
      <c r="H3" s="2" t="s">
        <v>67</v>
      </c>
      <c r="I3" s="2" t="s">
        <v>76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">
      <c r="A4">
        <v>1003</v>
      </c>
      <c r="B4" t="s">
        <v>11</v>
      </c>
      <c r="C4" t="s">
        <v>20</v>
      </c>
      <c r="D4">
        <v>29</v>
      </c>
      <c r="E4" t="s">
        <v>27</v>
      </c>
      <c r="F4" t="s">
        <v>29</v>
      </c>
      <c r="G4">
        <v>63000</v>
      </c>
      <c r="H4" s="2" t="s">
        <v>68</v>
      </c>
      <c r="I4" s="2" t="s">
        <v>77</v>
      </c>
      <c r="J4">
        <f t="shared" si="0"/>
        <v>6275</v>
      </c>
      <c r="K4">
        <f t="shared" si="1"/>
        <v>4484</v>
      </c>
    </row>
    <row r="5" spans="1:11" x14ac:dyDescent="0.3">
      <c r="A5">
        <v>1004</v>
      </c>
      <c r="B5" t="s">
        <v>12</v>
      </c>
      <c r="C5" t="s">
        <v>21</v>
      </c>
      <c r="D5">
        <v>31</v>
      </c>
      <c r="E5" t="s">
        <v>28</v>
      </c>
      <c r="F5" t="s">
        <v>31</v>
      </c>
      <c r="G5">
        <v>47000</v>
      </c>
      <c r="H5" s="2" t="s">
        <v>69</v>
      </c>
      <c r="I5" s="2" t="s">
        <v>78</v>
      </c>
      <c r="J5">
        <f t="shared" si="0"/>
        <v>5811</v>
      </c>
      <c r="K5">
        <f t="shared" si="1"/>
        <v>4152</v>
      </c>
    </row>
    <row r="6" spans="1:11" x14ac:dyDescent="0.3">
      <c r="A6">
        <v>1005</v>
      </c>
      <c r="B6" t="s">
        <v>13</v>
      </c>
      <c r="C6" t="s">
        <v>22</v>
      </c>
      <c r="D6">
        <v>32</v>
      </c>
      <c r="E6" t="s">
        <v>27</v>
      </c>
      <c r="F6" t="s">
        <v>32</v>
      </c>
      <c r="G6">
        <v>50000</v>
      </c>
      <c r="H6" s="2" t="s">
        <v>70</v>
      </c>
      <c r="I6" s="2" t="s">
        <v>79</v>
      </c>
      <c r="J6">
        <f t="shared" si="0"/>
        <v>5960</v>
      </c>
      <c r="K6">
        <f t="shared" si="1"/>
        <v>4258</v>
      </c>
    </row>
    <row r="7" spans="1:11" x14ac:dyDescent="0.3">
      <c r="A7">
        <v>1006</v>
      </c>
      <c r="B7" t="s">
        <v>14</v>
      </c>
      <c r="C7" t="s">
        <v>23</v>
      </c>
      <c r="D7">
        <v>35</v>
      </c>
      <c r="E7" t="s">
        <v>27</v>
      </c>
      <c r="F7" t="s">
        <v>33</v>
      </c>
      <c r="G7">
        <v>65000</v>
      </c>
      <c r="H7" s="2" t="s">
        <v>71</v>
      </c>
      <c r="I7" s="2" t="s">
        <v>80</v>
      </c>
      <c r="J7">
        <f t="shared" si="0"/>
        <v>6488</v>
      </c>
      <c r="K7">
        <f t="shared" si="1"/>
        <v>4635</v>
      </c>
    </row>
    <row r="8" spans="1:11" x14ac:dyDescent="0.3">
      <c r="A8">
        <v>1007</v>
      </c>
      <c r="B8" t="s">
        <v>15</v>
      </c>
      <c r="C8" t="s">
        <v>24</v>
      </c>
      <c r="D8">
        <v>32</v>
      </c>
      <c r="E8" t="s">
        <v>28</v>
      </c>
      <c r="F8" t="s">
        <v>38</v>
      </c>
      <c r="G8">
        <v>41000</v>
      </c>
      <c r="H8" s="2" t="s">
        <v>72</v>
      </c>
      <c r="I8" s="2" t="s">
        <v>81</v>
      </c>
      <c r="J8">
        <f t="shared" si="0"/>
        <v>3618</v>
      </c>
      <c r="K8">
        <f t="shared" si="1"/>
        <v>2585</v>
      </c>
    </row>
    <row r="9" spans="1:11" x14ac:dyDescent="0.3">
      <c r="A9">
        <v>1008</v>
      </c>
      <c r="B9" t="s">
        <v>16</v>
      </c>
      <c r="C9" t="s">
        <v>25</v>
      </c>
      <c r="D9">
        <v>38</v>
      </c>
      <c r="E9" t="s">
        <v>27</v>
      </c>
      <c r="F9" t="s">
        <v>29</v>
      </c>
      <c r="G9">
        <v>48000</v>
      </c>
      <c r="H9" s="2" t="s">
        <v>73</v>
      </c>
      <c r="I9" s="2" t="s">
        <v>82</v>
      </c>
      <c r="J9">
        <f t="shared" si="0"/>
        <v>37572</v>
      </c>
      <c r="K9">
        <f t="shared" si="1"/>
        <v>26838</v>
      </c>
    </row>
    <row r="10" spans="1:11" x14ac:dyDescent="0.3">
      <c r="A10">
        <v>1009</v>
      </c>
      <c r="B10" t="s">
        <v>17</v>
      </c>
      <c r="C10" t="s">
        <v>26</v>
      </c>
      <c r="D10">
        <v>31</v>
      </c>
      <c r="E10" t="s">
        <v>27</v>
      </c>
      <c r="F10" t="s">
        <v>31</v>
      </c>
      <c r="G10">
        <v>42000</v>
      </c>
      <c r="H10" s="2" t="s">
        <v>74</v>
      </c>
      <c r="I10" s="2" t="s">
        <v>83</v>
      </c>
      <c r="J10">
        <f t="shared" si="0"/>
        <v>2957</v>
      </c>
      <c r="K10">
        <f t="shared" si="1"/>
        <v>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Bhasin</dc:creator>
  <cp:lastModifiedBy>Khushi Bhasin</cp:lastModifiedBy>
  <dcterms:created xsi:type="dcterms:W3CDTF">2026-07-18T12:30:14Z</dcterms:created>
  <dcterms:modified xsi:type="dcterms:W3CDTF">2026-07-19T19:02:40Z</dcterms:modified>
</cp:coreProperties>
</file>