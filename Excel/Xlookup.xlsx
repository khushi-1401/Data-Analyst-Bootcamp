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ocuments\"/>
    </mc:Choice>
  </mc:AlternateContent>
  <xr:revisionPtr revIDLastSave="0" documentId="13_ncr:1_{A380CCFF-3B8E-4061-9CC1-53E2C04D0291}" xr6:coauthVersionLast="47" xr6:coauthVersionMax="47" xr10:uidLastSave="{00000000-0000-0000-0000-000000000000}"/>
  <bookViews>
    <workbookView xWindow="-108" yWindow="-108" windowWidth="23256" windowHeight="12456" firstSheet="2" activeTab="6" xr2:uid="{305F6C16-B751-47E4-BBC3-668F42C4B7D9}"/>
  </bookViews>
  <sheets>
    <sheet name="XLookUp" sheetId="1" r:id="rId1"/>
    <sheet name="XLookUp Multiple Rows" sheetId="3" r:id="rId2"/>
    <sheet name="XLookUp Exact Match" sheetId="4" r:id="rId3"/>
    <sheet name="XLookUp Search Order" sheetId="6" r:id="rId4"/>
    <sheet name="XLookUp Horizontal" sheetId="7" r:id="rId5"/>
    <sheet name="XLookUp w SUM" sheetId="8" r:id="rId6"/>
    <sheet name="VLookUp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9" l="1"/>
  <c r="H10" i="9"/>
  <c r="H9" i="9"/>
  <c r="H8" i="9"/>
  <c r="H7" i="9"/>
  <c r="H6" i="9"/>
  <c r="H5" i="9"/>
  <c r="H4" i="9"/>
  <c r="H3" i="9"/>
  <c r="H2" i="9"/>
  <c r="B7" i="8"/>
  <c r="B4" i="8"/>
  <c r="B3" i="8"/>
  <c r="B2" i="8"/>
  <c r="B3" i="7"/>
  <c r="B4" i="7"/>
  <c r="B2" i="7"/>
  <c r="B4" i="6"/>
  <c r="B3" i="6"/>
  <c r="B4" i="3" a="1"/>
  <c r="B4" i="3" s="1"/>
  <c r="B5" i="3" a="1"/>
  <c r="B5" i="3" s="1"/>
  <c r="B6" i="3" a="1"/>
  <c r="B6" i="3" s="1"/>
  <c r="B3" i="3" a="1"/>
  <c r="B3" i="3" s="1"/>
  <c r="B4" i="1"/>
  <c r="B5" i="1"/>
  <c r="B6" i="1"/>
  <c r="B3" i="1"/>
  <c r="H10" i="6"/>
  <c r="H9" i="6"/>
  <c r="H8" i="6"/>
  <c r="H7" i="6"/>
  <c r="H6" i="6"/>
  <c r="H5" i="6"/>
  <c r="H4" i="6"/>
  <c r="H3" i="6"/>
  <c r="H2" i="6"/>
  <c r="B6" i="4"/>
  <c r="B5" i="4"/>
  <c r="B4" i="4"/>
  <c r="B3" i="4"/>
  <c r="H10" i="4"/>
  <c r="H9" i="4"/>
  <c r="H8" i="4"/>
  <c r="H7" i="4"/>
  <c r="H6" i="4"/>
  <c r="H5" i="4"/>
  <c r="H4" i="4"/>
  <c r="H3" i="4"/>
  <c r="H2" i="4"/>
  <c r="C18" i="3" a="1"/>
  <c r="C18" i="3" s="1"/>
  <c r="H10" i="3"/>
  <c r="H9" i="3"/>
  <c r="H8" i="3"/>
  <c r="H7" i="3"/>
  <c r="H6" i="3"/>
  <c r="H5" i="3"/>
  <c r="H4" i="3"/>
  <c r="H3" i="3"/>
  <c r="H2" i="3"/>
  <c r="H8" i="1"/>
  <c r="H3" i="1"/>
  <c r="H4" i="1"/>
  <c r="H5" i="1"/>
  <c r="H6" i="1"/>
  <c r="H7" i="1"/>
  <c r="H9" i="1"/>
  <c r="H10" i="1"/>
  <c r="H2" i="1"/>
  <c r="B5" i="9" l="1"/>
  <c r="B12" i="9"/>
  <c r="B4" i="9"/>
  <c r="B11" i="9"/>
  <c r="B3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<sst xmlns="http://schemas.openxmlformats.org/spreadsheetml/2006/main" count="449" uniqueCount="98">
  <si>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</si>
  <si>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</si>
  <si>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</si>
  <si>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</si>
  <si>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</si>
  <si>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</si>
  <si>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</si>
  <si>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</si>
  <si>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</si>
  <si>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Jim</t>
  </si>
  <si>
    <t>Halpert</t>
  </si>
  <si>
    <t>Male</t>
  </si>
  <si>
    <t>Salesman</t>
  </si>
  <si>
    <t>11/2/2001</t>
  </si>
  <si>
    <t>9/6/2015</t>
  </si>
  <si>
    <t>Pam</t>
  </si>
  <si>
    <t>Beasley</t>
  </si>
  <si>
    <t>Female</t>
  </si>
  <si>
    <t>Receptionist</t>
  </si>
  <si>
    <t>10/3/1999</t>
  </si>
  <si>
    <t>10/10/2015</t>
  </si>
  <si>
    <t>Dwight</t>
  </si>
  <si>
    <t>Schrute</t>
  </si>
  <si>
    <t>7/4/2000</t>
  </si>
  <si>
    <t>9/8/2017</t>
  </si>
  <si>
    <t>Angela</t>
  </si>
  <si>
    <t>Martin</t>
  </si>
  <si>
    <t>Accountant</t>
  </si>
  <si>
    <t>1/5/2000</t>
  </si>
  <si>
    <t>12/3/2015</t>
  </si>
  <si>
    <t>Toby</t>
  </si>
  <si>
    <t>Flenderson</t>
  </si>
  <si>
    <t>HR</t>
  </si>
  <si>
    <t>5/6/2001</t>
  </si>
  <si>
    <t>8/30/2017</t>
  </si>
  <si>
    <t>Michael</t>
  </si>
  <si>
    <t>Scott</t>
  </si>
  <si>
    <t>Regional Manager</t>
  </si>
  <si>
    <t>12/7/1995</t>
  </si>
  <si>
    <t>9/11/2013</t>
  </si>
  <si>
    <t>Meredith</t>
  </si>
  <si>
    <t>Palmer</t>
  </si>
  <si>
    <t>Supplier Relations</t>
  </si>
  <si>
    <t>11/8/2003</t>
  </si>
  <si>
    <t>10/4/2013</t>
  </si>
  <si>
    <t>Stanley</t>
  </si>
  <si>
    <t>Hudson</t>
  </si>
  <si>
    <t>6/9/2002</t>
  </si>
  <si>
    <t>4/22/2105</t>
  </si>
  <si>
    <t>Kevin</t>
  </si>
  <si>
    <t>Malone</t>
  </si>
  <si>
    <t>8/10/2003</t>
  </si>
  <si>
    <t>9/14/2011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</si>
  <si>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</si>
  <si>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</si>
  <si>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</si>
  <si>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</si>
  <si>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</si>
  <si>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</si>
  <si>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</si>
  <si>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</si>
  <si>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</si>
  <si>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</si>
  <si>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Full Name</t>
  </si>
  <si>
    <t>Toby Flenderson</t>
  </si>
  <si>
    <t>Pam Beasley</t>
  </si>
  <si>
    <t>Meredith Palmer</t>
  </si>
  <si>
    <t>Kevin Malone</t>
  </si>
  <si>
    <t>Kevin Malo</t>
  </si>
  <si>
    <t>Toby Flender</t>
  </si>
  <si>
    <t xml:space="preserve">  </t>
  </si>
  <si>
    <t>"*"&amp;</t>
  </si>
  <si>
    <t>Person</t>
  </si>
  <si>
    <t>1/1/2000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</si>
  <si>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</si>
  <si>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</si>
  <si>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</si>
  <si>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</si>
  <si>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</si>
  <si>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</si>
  <si>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</si>
  <si>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</si>
  <si>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</si>
  <si>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Octobar</t>
  </si>
  <si>
    <t>November</t>
  </si>
  <si>
    <t>December</t>
  </si>
  <si>
    <t>Paper</t>
  </si>
  <si>
    <t>Printer</t>
  </si>
  <si>
    <t>Manila Folder</t>
  </si>
  <si>
    <t>February-March</t>
  </si>
  <si>
    <t>FullName</t>
  </si>
  <si>
    <t>Dwight Schrute</t>
  </si>
  <si>
    <t>Michael Scott</t>
  </si>
  <si>
    <t>Stanley Hudson</t>
  </si>
  <si>
    <t># result got changed if I added a col</t>
  </si>
  <si>
    <t># nothing changed in xlookup if I add col</t>
  </si>
  <si>
    <t># read xloopup vs vlookup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</si>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</sst>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C9DA-101C-46B3-809A-C45893364C1D}">
  <dimension ref="A1:O10"/>
  <sheetViews>
    <sheetView workbookViewId="0">
      <selection activeCell="B3" sqref="B3:B6"/>
    </sheetView>
  </sheetViews>
  <sheetFormatPr defaultRowHeight="14.4" x14ac:dyDescent="0.3"/>
  <cols>
    <col min="1" max="1" width="14.5546875" customWidth="1"/>
    <col min="2" max="2" width="45.5546875" customWidth="1"/>
    <col min="5" max="14" width="15.5546875" customWidth="1"/>
    <col min="15" max="15" width="40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s="1" t="s">
        <v>53</v>
      </c>
    </row>
    <row r="2" spans="1:15" x14ac:dyDescent="0.3">
      <c r="A2" t="s">
        <v>63</v>
      </c>
      <c r="B2" t="s">
        <v>53</v>
      </c>
      <c r="E2">
        <v>1001</v>
      </c>
      <c r="F2" t="s">
        <v>9</v>
      </c>
      <c r="G2" t="s">
        <v>10</v>
      </c>
      <c r="H2" t="str">
        <f>CONCATENATE(F2," ",G2)</f>
        <v>Jim Halpert</v>
      </c>
      <c r="I2">
        <v>30</v>
      </c>
      <c r="J2" t="s">
        <v>11</v>
      </c>
      <c r="K2" t="s">
        <v>12</v>
      </c>
      <c r="L2">
        <v>45000</v>
      </c>
      <c r="M2" s="1" t="s">
        <v>13</v>
      </c>
      <c r="N2" s="1" t="s">
        <v>14</v>
      </c>
      <c r="O2" t="s">
        <v>54</v>
      </c>
    </row>
    <row r="3" spans="1:15" x14ac:dyDescent="0.3">
      <c r="A3" t="s">
        <v>64</v>
      </c>
      <c r="B3" t="str">
        <f>_xlfn.XLOOKUP(A3,H2:H10,O2:O10)</f>
        <v>Toby.Flenderson@DunderMifflinCorporate.com</v>
      </c>
      <c r="E3">
        <v>1002</v>
      </c>
      <c r="F3" t="s">
        <v>15</v>
      </c>
      <c r="G3" t="s">
        <v>16</v>
      </c>
      <c r="H3" t="str">
        <f t="shared" ref="H3:H10" si="0">CONCATENATE(F3," ",G3)</f>
        <v>Pam Beasley</v>
      </c>
      <c r="I3">
        <v>30</v>
      </c>
      <c r="J3" t="s">
        <v>17</v>
      </c>
      <c r="K3" t="s">
        <v>18</v>
      </c>
      <c r="L3">
        <v>36000</v>
      </c>
      <c r="M3" s="1" t="s">
        <v>19</v>
      </c>
      <c r="N3" s="1" t="s">
        <v>20</v>
      </c>
      <c r="O3" t="s">
        <v>55</v>
      </c>
    </row>
    <row r="4" spans="1:15" x14ac:dyDescent="0.3">
      <c r="A4" t="s">
        <v>65</v>
      </c>
      <c r="B4" t="str">
        <f t="shared" ref="B4:B6" si="1">_xlfn.XLOOKUP(A4,H3:H11,O3:O11)</f>
        <v>Pam.Beasley@DunderMifflin.com</v>
      </c>
      <c r="E4">
        <v>1003</v>
      </c>
      <c r="F4" t="s">
        <v>21</v>
      </c>
      <c r="G4" t="s">
        <v>22</v>
      </c>
      <c r="H4" t="str">
        <f t="shared" si="0"/>
        <v>Dwight Schrute</v>
      </c>
      <c r="I4">
        <v>29</v>
      </c>
      <c r="J4" t="s">
        <v>11</v>
      </c>
      <c r="K4" t="s">
        <v>12</v>
      </c>
      <c r="L4">
        <v>63000</v>
      </c>
      <c r="M4" s="1" t="s">
        <v>23</v>
      </c>
      <c r="N4" s="1" t="s">
        <v>24</v>
      </c>
      <c r="O4" t="s">
        <v>56</v>
      </c>
    </row>
    <row r="5" spans="1:15" x14ac:dyDescent="0.3">
      <c r="A5" t="s">
        <v>66</v>
      </c>
      <c r="B5" t="str">
        <f t="shared" si="1"/>
        <v>Meredith.Palmer@Yahoo.com</v>
      </c>
      <c r="E5">
        <v>1004</v>
      </c>
      <c r="F5" t="s">
        <v>25</v>
      </c>
      <c r="G5" t="s">
        <v>26</v>
      </c>
      <c r="H5" t="str">
        <f t="shared" si="0"/>
        <v>Angela Martin</v>
      </c>
      <c r="I5">
        <v>31</v>
      </c>
      <c r="J5" t="s">
        <v>17</v>
      </c>
      <c r="K5" t="s">
        <v>27</v>
      </c>
      <c r="L5">
        <v>47000</v>
      </c>
      <c r="M5" s="1" t="s">
        <v>28</v>
      </c>
      <c r="N5" s="1" t="s">
        <v>29</v>
      </c>
      <c r="O5" t="s">
        <v>57</v>
      </c>
    </row>
    <row r="6" spans="1:15" x14ac:dyDescent="0.3">
      <c r="A6" t="s">
        <v>67</v>
      </c>
      <c r="B6" t="str">
        <f t="shared" si="1"/>
        <v>Kevin.Malone@DunderMifflin.com</v>
      </c>
      <c r="E6">
        <v>1005</v>
      </c>
      <c r="F6" t="s">
        <v>30</v>
      </c>
      <c r="G6" t="s">
        <v>31</v>
      </c>
      <c r="H6" t="str">
        <f t="shared" si="0"/>
        <v>Toby Flenderson</v>
      </c>
      <c r="I6">
        <v>32</v>
      </c>
      <c r="J6" t="s">
        <v>11</v>
      </c>
      <c r="K6" t="s">
        <v>32</v>
      </c>
      <c r="L6">
        <v>50000</v>
      </c>
      <c r="M6" s="1" t="s">
        <v>33</v>
      </c>
      <c r="N6" s="1" t="s">
        <v>34</v>
      </c>
      <c r="O6" t="s">
        <v>58</v>
      </c>
    </row>
    <row r="7" spans="1:15" x14ac:dyDescent="0.3">
      <c r="E7">
        <v>1006</v>
      </c>
      <c r="F7" t="s">
        <v>35</v>
      </c>
      <c r="G7" t="s">
        <v>36</v>
      </c>
      <c r="H7" t="str">
        <f t="shared" si="0"/>
        <v>Michael Scott</v>
      </c>
      <c r="I7">
        <v>35</v>
      </c>
      <c r="J7" t="s">
        <v>11</v>
      </c>
      <c r="K7" t="s">
        <v>37</v>
      </c>
      <c r="L7">
        <v>65000</v>
      </c>
      <c r="M7" s="1" t="s">
        <v>38</v>
      </c>
      <c r="N7" s="1" t="s">
        <v>39</v>
      </c>
      <c r="O7" t="s">
        <v>59</v>
      </c>
    </row>
    <row r="8" spans="1:15" x14ac:dyDescent="0.3">
      <c r="E8">
        <v>1007</v>
      </c>
      <c r="F8" t="s">
        <v>40</v>
      </c>
      <c r="G8" t="s">
        <v>41</v>
      </c>
      <c r="H8" t="str">
        <f>CONCATENATE(F8," ",G8)</f>
        <v>Meredith Palmer</v>
      </c>
      <c r="I8">
        <v>32</v>
      </c>
      <c r="J8" t="s">
        <v>17</v>
      </c>
      <c r="K8" t="s">
        <v>42</v>
      </c>
      <c r="L8">
        <v>41000</v>
      </c>
      <c r="M8" s="1" t="s">
        <v>43</v>
      </c>
      <c r="N8" s="1" t="s">
        <v>44</v>
      </c>
      <c r="O8" t="s">
        <v>60</v>
      </c>
    </row>
    <row r="9" spans="1:15" x14ac:dyDescent="0.3">
      <c r="E9">
        <v>1008</v>
      </c>
      <c r="F9" t="s">
        <v>45</v>
      </c>
      <c r="G9" t="s">
        <v>46</v>
      </c>
      <c r="H9" t="str">
        <f t="shared" si="0"/>
        <v>Stanley Hudson</v>
      </c>
      <c r="I9">
        <v>38</v>
      </c>
      <c r="J9" t="s">
        <v>11</v>
      </c>
      <c r="K9" t="s">
        <v>12</v>
      </c>
      <c r="L9">
        <v>48000</v>
      </c>
      <c r="M9" s="1" t="s">
        <v>47</v>
      </c>
      <c r="N9" s="1" t="s">
        <v>48</v>
      </c>
      <c r="O9" t="s">
        <v>61</v>
      </c>
    </row>
    <row r="10" spans="1:15" x14ac:dyDescent="0.3">
      <c r="E10">
        <v>1009</v>
      </c>
      <c r="F10" t="s">
        <v>49</v>
      </c>
      <c r="G10" t="s">
        <v>50</v>
      </c>
      <c r="H10" t="str">
        <f t="shared" si="0"/>
        <v>Kevin Malone</v>
      </c>
      <c r="I10">
        <v>31</v>
      </c>
      <c r="J10" t="s">
        <v>11</v>
      </c>
      <c r="K10" t="s">
        <v>27</v>
      </c>
      <c r="L10">
        <v>42000</v>
      </c>
      <c r="M10" s="1" t="s">
        <v>51</v>
      </c>
      <c r="N10" s="1" t="s">
        <v>52</v>
      </c>
      <c r="O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346B-C81F-457A-8359-ED521544DE09}">
  <dimension ref="A1:O18"/>
  <sheetViews>
    <sheetView workbookViewId="0">
      <selection activeCell="B12" sqref="B12"/>
    </sheetView>
  </sheetViews>
  <sheetFormatPr defaultRowHeight="14.4" x14ac:dyDescent="0.3"/>
  <cols>
    <col min="1" max="1" width="14.5546875" customWidth="1"/>
    <col min="2" max="2" width="17.109375" customWidth="1"/>
    <col min="3" max="3" width="41.109375" customWidth="1"/>
    <col min="5" max="14" width="15.5546875" customWidth="1"/>
    <col min="15" max="15" width="40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s="1" t="s">
        <v>53</v>
      </c>
    </row>
    <row r="2" spans="1:15" x14ac:dyDescent="0.3">
      <c r="A2" t="s">
        <v>63</v>
      </c>
      <c r="B2" t="s">
        <v>8</v>
      </c>
      <c r="C2" t="s">
        <v>53</v>
      </c>
      <c r="E2">
        <v>1001</v>
      </c>
      <c r="F2" t="s">
        <v>9</v>
      </c>
      <c r="G2" t="s">
        <v>10</v>
      </c>
      <c r="H2" t="str">
        <f>CONCATENATE(F2," ",G2)</f>
        <v>Jim Halpert</v>
      </c>
      <c r="I2">
        <v>30</v>
      </c>
      <c r="J2" t="s">
        <v>11</v>
      </c>
      <c r="K2" t="s">
        <v>12</v>
      </c>
      <c r="L2">
        <v>45000</v>
      </c>
      <c r="M2" s="1" t="s">
        <v>13</v>
      </c>
      <c r="N2" s="1" t="s">
        <v>14</v>
      </c>
      <c r="O2" t="s">
        <v>54</v>
      </c>
    </row>
    <row r="3" spans="1:15" x14ac:dyDescent="0.3">
      <c r="A3" t="s">
        <v>64</v>
      </c>
      <c r="B3" t="str" cm="1">
        <f t="array" ref="B3:C3">_xlfn.XLOOKUP(A3,H2:H10,N2:O10)</f>
        <v>8/30/2017</v>
      </c>
      <c r="C3" t="str">
        <v>Toby.Flenderson@DunderMifflinCorporate.com</v>
      </c>
      <c r="E3">
        <v>1002</v>
      </c>
      <c r="F3" t="s">
        <v>15</v>
      </c>
      <c r="G3" t="s">
        <v>16</v>
      </c>
      <c r="H3" t="str">
        <f t="shared" ref="H3:H10" si="0">CONCATENATE(F3," ",G3)</f>
        <v>Pam Beasley</v>
      </c>
      <c r="I3">
        <v>30</v>
      </c>
      <c r="J3" t="s">
        <v>17</v>
      </c>
      <c r="K3" t="s">
        <v>18</v>
      </c>
      <c r="L3">
        <v>36000</v>
      </c>
      <c r="M3" s="1" t="s">
        <v>19</v>
      </c>
      <c r="N3" s="1" t="s">
        <v>20</v>
      </c>
      <c r="O3" t="s">
        <v>55</v>
      </c>
    </row>
    <row r="4" spans="1:15" x14ac:dyDescent="0.3">
      <c r="A4" t="s">
        <v>65</v>
      </c>
      <c r="B4" t="str" cm="1">
        <f t="array" ref="B4:C4">_xlfn.XLOOKUP(A4,H3:H11,N3:O11)</f>
        <v>10/10/2015</v>
      </c>
      <c r="C4" t="str">
        <v>Pam.Beasley@DunderMifflin.com</v>
      </c>
      <c r="E4">
        <v>1003</v>
      </c>
      <c r="F4" t="s">
        <v>21</v>
      </c>
      <c r="G4" t="s">
        <v>22</v>
      </c>
      <c r="H4" t="str">
        <f t="shared" si="0"/>
        <v>Dwight Schrute</v>
      </c>
      <c r="I4">
        <v>29</v>
      </c>
      <c r="J4" t="s">
        <v>11</v>
      </c>
      <c r="K4" t="s">
        <v>12</v>
      </c>
      <c r="L4">
        <v>63000</v>
      </c>
      <c r="M4" s="1" t="s">
        <v>23</v>
      </c>
      <c r="N4" s="1" t="s">
        <v>24</v>
      </c>
      <c r="O4" t="s">
        <v>56</v>
      </c>
    </row>
    <row r="5" spans="1:15" x14ac:dyDescent="0.3">
      <c r="A5" t="s">
        <v>66</v>
      </c>
      <c r="B5" t="str" cm="1">
        <f t="array" ref="B5:C5">_xlfn.XLOOKUP(A5,H4:H12,N4:O12)</f>
        <v>10/4/2013</v>
      </c>
      <c r="C5" t="str">
        <v>Meredith.Palmer@Yahoo.com</v>
      </c>
      <c r="E5">
        <v>1004</v>
      </c>
      <c r="F5" t="s">
        <v>25</v>
      </c>
      <c r="G5" t="s">
        <v>26</v>
      </c>
      <c r="H5" t="str">
        <f t="shared" si="0"/>
        <v>Angela Martin</v>
      </c>
      <c r="I5">
        <v>31</v>
      </c>
      <c r="J5" t="s">
        <v>17</v>
      </c>
      <c r="K5" t="s">
        <v>27</v>
      </c>
      <c r="L5">
        <v>47000</v>
      </c>
      <c r="M5" s="1" t="s">
        <v>28</v>
      </c>
      <c r="N5" s="1" t="s">
        <v>29</v>
      </c>
      <c r="O5" t="s">
        <v>57</v>
      </c>
    </row>
    <row r="6" spans="1:15" x14ac:dyDescent="0.3">
      <c r="A6" t="s">
        <v>67</v>
      </c>
      <c r="B6" t="str" cm="1">
        <f t="array" ref="B6:C6">_xlfn.XLOOKUP(A6,H5:H13,N5:O13)</f>
        <v>9/14/2011</v>
      </c>
      <c r="C6" t="str">
        <v>Kevin.Malone@DunderMifflin.com</v>
      </c>
      <c r="E6">
        <v>1005</v>
      </c>
      <c r="F6" t="s">
        <v>30</v>
      </c>
      <c r="G6" t="s">
        <v>31</v>
      </c>
      <c r="H6" t="str">
        <f t="shared" si="0"/>
        <v>Toby Flenderson</v>
      </c>
      <c r="I6">
        <v>32</v>
      </c>
      <c r="J6" t="s">
        <v>11</v>
      </c>
      <c r="K6" t="s">
        <v>32</v>
      </c>
      <c r="L6">
        <v>50000</v>
      </c>
      <c r="M6" s="1" t="s">
        <v>33</v>
      </c>
      <c r="N6" s="1" t="s">
        <v>34</v>
      </c>
      <c r="O6" t="s">
        <v>58</v>
      </c>
    </row>
    <row r="7" spans="1:15" x14ac:dyDescent="0.3">
      <c r="E7">
        <v>1006</v>
      </c>
      <c r="F7" t="s">
        <v>35</v>
      </c>
      <c r="G7" t="s">
        <v>36</v>
      </c>
      <c r="H7" t="str">
        <f t="shared" si="0"/>
        <v>Michael Scott</v>
      </c>
      <c r="I7">
        <v>35</v>
      </c>
      <c r="J7" t="s">
        <v>11</v>
      </c>
      <c r="K7" t="s">
        <v>37</v>
      </c>
      <c r="L7">
        <v>65000</v>
      </c>
      <c r="M7" s="1" t="s">
        <v>38</v>
      </c>
      <c r="N7" s="1" t="s">
        <v>39</v>
      </c>
      <c r="O7" t="s">
        <v>59</v>
      </c>
    </row>
    <row r="8" spans="1:15" x14ac:dyDescent="0.3">
      <c r="E8">
        <v>1007</v>
      </c>
      <c r="F8" t="s">
        <v>40</v>
      </c>
      <c r="G8" t="s">
        <v>41</v>
      </c>
      <c r="H8" t="str">
        <f>CONCATENATE(F8," ",G8)</f>
        <v>Meredith Palmer</v>
      </c>
      <c r="I8">
        <v>32</v>
      </c>
      <c r="J8" t="s">
        <v>17</v>
      </c>
      <c r="K8" t="s">
        <v>42</v>
      </c>
      <c r="L8">
        <v>41000</v>
      </c>
      <c r="M8" s="1" t="s">
        <v>43</v>
      </c>
      <c r="N8" s="1" t="s">
        <v>44</v>
      </c>
      <c r="O8" t="s">
        <v>60</v>
      </c>
    </row>
    <row r="9" spans="1:15" x14ac:dyDescent="0.3">
      <c r="E9">
        <v>1008</v>
      </c>
      <c r="F9" t="s">
        <v>45</v>
      </c>
      <c r="G9" t="s">
        <v>46</v>
      </c>
      <c r="H9" t="str">
        <f t="shared" si="0"/>
        <v>Stanley Hudson</v>
      </c>
      <c r="I9">
        <v>38</v>
      </c>
      <c r="J9" t="s">
        <v>11</v>
      </c>
      <c r="K9" t="s">
        <v>12</v>
      </c>
      <c r="L9">
        <v>48000</v>
      </c>
      <c r="M9" s="1" t="s">
        <v>47</v>
      </c>
      <c r="N9" s="1" t="s">
        <v>48</v>
      </c>
      <c r="O9" t="s">
        <v>61</v>
      </c>
    </row>
    <row r="10" spans="1:15" x14ac:dyDescent="0.3">
      <c r="E10">
        <v>1009</v>
      </c>
      <c r="F10" t="s">
        <v>49</v>
      </c>
      <c r="G10" t="s">
        <v>50</v>
      </c>
      <c r="H10" t="str">
        <f t="shared" si="0"/>
        <v>Kevin Malone</v>
      </c>
      <c r="I10">
        <v>31</v>
      </c>
      <c r="J10" t="s">
        <v>11</v>
      </c>
      <c r="K10" t="s">
        <v>27</v>
      </c>
      <c r="L10">
        <v>42000</v>
      </c>
      <c r="M10" s="1" t="s">
        <v>51</v>
      </c>
      <c r="N10" s="1" t="s">
        <v>52</v>
      </c>
      <c r="O10" t="s">
        <v>62</v>
      </c>
    </row>
    <row r="18" spans="3:9" x14ac:dyDescent="0.3">
      <c r="C18" cm="1">
        <f t="array" ref="C18:I18">_xlfn.XLOOKUP(A4,H2:H10,I2:O10)</f>
        <v>30</v>
      </c>
      <c r="D18" t="str">
        <v>Female</v>
      </c>
      <c r="E18" t="str">
        <v>Receptionist</v>
      </c>
      <c r="F18">
        <v>36000</v>
      </c>
      <c r="G18" t="str">
        <v>10/3/1999</v>
      </c>
      <c r="H18" t="str">
        <v>10/10/2015</v>
      </c>
      <c r="I18" t="str">
        <v>Pam.Beasley@DunderMifflin.com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F9B1-F714-4044-9E7B-4A2CBCAF04C3}">
  <dimension ref="A1:O10"/>
  <sheetViews>
    <sheetView workbookViewId="0">
      <selection activeCell="B4" sqref="B4"/>
    </sheetView>
  </sheetViews>
  <sheetFormatPr defaultRowHeight="14.4" x14ac:dyDescent="0.3"/>
  <cols>
    <col min="1" max="1" width="14.5546875" customWidth="1"/>
    <col min="2" max="2" width="37" customWidth="1"/>
    <col min="3" max="3" width="16.6640625" customWidth="1"/>
    <col min="5" max="14" width="15.5546875" customWidth="1"/>
    <col min="15" max="15" width="40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s="1" t="s">
        <v>53</v>
      </c>
    </row>
    <row r="2" spans="1:15" x14ac:dyDescent="0.3">
      <c r="A2" t="s">
        <v>63</v>
      </c>
      <c r="B2" t="s">
        <v>53</v>
      </c>
      <c r="E2">
        <v>1001</v>
      </c>
      <c r="F2" t="s">
        <v>9</v>
      </c>
      <c r="G2" t="s">
        <v>10</v>
      </c>
      <c r="H2" t="str">
        <f>CONCATENATE(F2," ",G2)</f>
        <v>Jim Halpert</v>
      </c>
      <c r="I2">
        <v>30</v>
      </c>
      <c r="J2" t="s">
        <v>11</v>
      </c>
      <c r="K2" t="s">
        <v>12</v>
      </c>
      <c r="L2">
        <v>45000</v>
      </c>
      <c r="M2" s="1" t="s">
        <v>13</v>
      </c>
      <c r="N2" s="1" t="s">
        <v>14</v>
      </c>
      <c r="O2" t="s">
        <v>54</v>
      </c>
    </row>
    <row r="3" spans="1:15" x14ac:dyDescent="0.3">
      <c r="A3" t="s">
        <v>69</v>
      </c>
      <c r="B3" t="str">
        <f>_xlfn.XLOOKUP(A3,H2:H10,O2:O10,"Not Found")</f>
        <v>Not Found</v>
      </c>
      <c r="E3">
        <v>1002</v>
      </c>
      <c r="F3" t="s">
        <v>15</v>
      </c>
      <c r="G3" t="s">
        <v>16</v>
      </c>
      <c r="H3" t="str">
        <f t="shared" ref="H3:H10" si="0">CONCATENATE(F3," ",G3)</f>
        <v>Pam Beasley</v>
      </c>
      <c r="I3">
        <v>30</v>
      </c>
      <c r="J3" t="s">
        <v>17</v>
      </c>
      <c r="K3" t="s">
        <v>18</v>
      </c>
      <c r="L3">
        <v>36000</v>
      </c>
      <c r="M3" s="1" t="s">
        <v>19</v>
      </c>
      <c r="N3" s="1" t="s">
        <v>20</v>
      </c>
      <c r="O3" t="s">
        <v>55</v>
      </c>
    </row>
    <row r="4" spans="1:15" x14ac:dyDescent="0.3">
      <c r="A4" t="s">
        <v>16</v>
      </c>
      <c r="B4" t="str">
        <f>_xlfn.XLOOKUP("*"&amp;A4,H2:H10,O2:O10,"Not Found",2)</f>
        <v>Pam.Beasley@DunderMifflin.com</v>
      </c>
      <c r="E4">
        <v>1003</v>
      </c>
      <c r="F4" t="s">
        <v>21</v>
      </c>
      <c r="G4" t="s">
        <v>22</v>
      </c>
      <c r="H4" t="str">
        <f t="shared" si="0"/>
        <v>Dwight Schrute</v>
      </c>
      <c r="I4">
        <v>29</v>
      </c>
      <c r="J4" t="s">
        <v>11</v>
      </c>
      <c r="K4" t="s">
        <v>12</v>
      </c>
      <c r="L4">
        <v>63000</v>
      </c>
      <c r="M4" s="1" t="s">
        <v>23</v>
      </c>
      <c r="N4" s="1" t="s">
        <v>24</v>
      </c>
      <c r="O4" t="s">
        <v>56</v>
      </c>
    </row>
    <row r="5" spans="1:15" x14ac:dyDescent="0.3">
      <c r="A5" t="s">
        <v>40</v>
      </c>
      <c r="B5" t="str">
        <f>_xlfn.XLOOKUP(A5&amp;"*",H3:H11,O3:O11,"Not Found",2)</f>
        <v>Meredith.Palmer@Yahoo.com</v>
      </c>
      <c r="E5">
        <v>1004</v>
      </c>
      <c r="F5" t="s">
        <v>25</v>
      </c>
      <c r="G5" t="s">
        <v>26</v>
      </c>
      <c r="H5" t="str">
        <f t="shared" si="0"/>
        <v>Angela Martin</v>
      </c>
      <c r="I5">
        <v>31</v>
      </c>
      <c r="J5" t="s">
        <v>17</v>
      </c>
      <c r="K5" t="s">
        <v>27</v>
      </c>
      <c r="L5">
        <v>47000</v>
      </c>
      <c r="M5" s="1" t="s">
        <v>28</v>
      </c>
      <c r="N5" s="1" t="s">
        <v>29</v>
      </c>
      <c r="O5" t="s">
        <v>57</v>
      </c>
    </row>
    <row r="6" spans="1:15" x14ac:dyDescent="0.3">
      <c r="A6" t="s">
        <v>68</v>
      </c>
      <c r="B6" t="str">
        <f>_xlfn.XLOOKUP(A6&amp;"*",H4:H12,O4:O12,"Not Found",2)</f>
        <v>Kevin.Malone@DunderMifflin.com</v>
      </c>
      <c r="E6">
        <v>1005</v>
      </c>
      <c r="F6" t="s">
        <v>30</v>
      </c>
      <c r="G6" t="s">
        <v>31</v>
      </c>
      <c r="H6" t="str">
        <f t="shared" si="0"/>
        <v>Toby Flenderson</v>
      </c>
      <c r="I6">
        <v>32</v>
      </c>
      <c r="J6" t="s">
        <v>11</v>
      </c>
      <c r="K6" t="s">
        <v>32</v>
      </c>
      <c r="L6">
        <v>50000</v>
      </c>
      <c r="M6" s="1" t="s">
        <v>33</v>
      </c>
      <c r="N6" s="1" t="s">
        <v>34</v>
      </c>
      <c r="O6" t="s">
        <v>58</v>
      </c>
    </row>
    <row r="7" spans="1:15" x14ac:dyDescent="0.3">
      <c r="E7">
        <v>1006</v>
      </c>
      <c r="F7" t="s">
        <v>35</v>
      </c>
      <c r="G7" t="s">
        <v>36</v>
      </c>
      <c r="H7" t="str">
        <f t="shared" si="0"/>
        <v>Michael Scott</v>
      </c>
      <c r="I7">
        <v>35</v>
      </c>
      <c r="J7" t="s">
        <v>11</v>
      </c>
      <c r="K7" t="s">
        <v>37</v>
      </c>
      <c r="L7">
        <v>65000</v>
      </c>
      <c r="M7" s="1" t="s">
        <v>33</v>
      </c>
      <c r="N7" s="1" t="s">
        <v>39</v>
      </c>
      <c r="O7" t="s">
        <v>59</v>
      </c>
    </row>
    <row r="8" spans="1:15" x14ac:dyDescent="0.3">
      <c r="E8">
        <v>1007</v>
      </c>
      <c r="F8" t="s">
        <v>40</v>
      </c>
      <c r="G8" t="s">
        <v>41</v>
      </c>
      <c r="H8" t="str">
        <f>CONCATENATE(F8," ",G8)</f>
        <v>Meredith Palmer</v>
      </c>
      <c r="I8">
        <v>32</v>
      </c>
      <c r="J8" t="s">
        <v>17</v>
      </c>
      <c r="K8" t="s">
        <v>42</v>
      </c>
      <c r="L8">
        <v>41000</v>
      </c>
      <c r="M8" s="1" t="s">
        <v>43</v>
      </c>
      <c r="N8" s="1" t="s">
        <v>44</v>
      </c>
      <c r="O8" t="s">
        <v>60</v>
      </c>
    </row>
    <row r="9" spans="1:15" x14ac:dyDescent="0.3">
      <c r="E9">
        <v>1008</v>
      </c>
      <c r="F9" t="s">
        <v>45</v>
      </c>
      <c r="G9" t="s">
        <v>46</v>
      </c>
      <c r="H9" t="str">
        <f t="shared" si="0"/>
        <v>Stanley Hudson</v>
      </c>
      <c r="I9">
        <v>38</v>
      </c>
      <c r="J9" t="s">
        <v>11</v>
      </c>
      <c r="K9" t="s">
        <v>12</v>
      </c>
      <c r="L9">
        <v>48000</v>
      </c>
      <c r="M9" s="1" t="s">
        <v>47</v>
      </c>
      <c r="N9" s="1" t="s">
        <v>48</v>
      </c>
      <c r="O9" t="s">
        <v>61</v>
      </c>
    </row>
    <row r="10" spans="1:15" x14ac:dyDescent="0.3">
      <c r="B10" t="s">
        <v>71</v>
      </c>
      <c r="E10">
        <v>1009</v>
      </c>
      <c r="F10" t="s">
        <v>49</v>
      </c>
      <c r="G10" t="s">
        <v>50</v>
      </c>
      <c r="H10" t="str">
        <f t="shared" si="0"/>
        <v>Kevin Malone</v>
      </c>
      <c r="I10">
        <v>31</v>
      </c>
      <c r="J10" t="s">
        <v>11</v>
      </c>
      <c r="K10" t="s">
        <v>27</v>
      </c>
      <c r="L10">
        <v>42000</v>
      </c>
      <c r="M10" s="1" t="s">
        <v>51</v>
      </c>
      <c r="N10" s="1" t="s">
        <v>52</v>
      </c>
      <c r="O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13C9-59F8-40D8-992F-483CE658EB98}">
  <dimension ref="A1:O22"/>
  <sheetViews>
    <sheetView topLeftCell="T1" workbookViewId="0">
      <selection activeCell="E1" sqref="E1:O10"/>
    </sheetView>
  </sheetViews>
  <sheetFormatPr defaultRowHeight="14.4" x14ac:dyDescent="0.3"/>
  <cols>
    <col min="1" max="1" width="14.5546875" customWidth="1"/>
    <col min="2" max="2" width="37" customWidth="1"/>
    <col min="3" max="3" width="16.6640625" customWidth="1"/>
    <col min="5" max="14" width="15.5546875" customWidth="1"/>
    <col min="15" max="15" width="40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s="1" t="s">
        <v>53</v>
      </c>
    </row>
    <row r="2" spans="1:15" x14ac:dyDescent="0.3">
      <c r="A2" t="s">
        <v>7</v>
      </c>
      <c r="B2" t="s">
        <v>72</v>
      </c>
      <c r="E2">
        <v>1001</v>
      </c>
      <c r="F2" t="s">
        <v>9</v>
      </c>
      <c r="G2" t="s">
        <v>10</v>
      </c>
      <c r="H2" t="str">
        <f>CONCATENATE(F2," ",G2)</f>
        <v>Jim Halpert</v>
      </c>
      <c r="I2">
        <v>30</v>
      </c>
      <c r="J2" t="s">
        <v>11</v>
      </c>
      <c r="K2" t="s">
        <v>12</v>
      </c>
      <c r="L2">
        <v>45000</v>
      </c>
      <c r="M2" s="1" t="s">
        <v>13</v>
      </c>
      <c r="N2" s="1" t="s">
        <v>14</v>
      </c>
      <c r="O2" t="s">
        <v>54</v>
      </c>
    </row>
    <row r="3" spans="1:15" x14ac:dyDescent="0.3">
      <c r="A3" s="1" t="s">
        <v>73</v>
      </c>
      <c r="B3" t="str">
        <f>_xlfn.XLOOKUP(A3,M2:M10,H2:H10,,1)</f>
        <v>Angela Martin</v>
      </c>
      <c r="E3">
        <v>1002</v>
      </c>
      <c r="F3" t="s">
        <v>15</v>
      </c>
      <c r="G3" t="s">
        <v>16</v>
      </c>
      <c r="H3" t="str">
        <f t="shared" ref="H3:H10" si="0">CONCATENATE(F3," ",G3)</f>
        <v>Pam Beasley</v>
      </c>
      <c r="I3">
        <v>30</v>
      </c>
      <c r="J3" t="s">
        <v>17</v>
      </c>
      <c r="K3" t="s">
        <v>18</v>
      </c>
      <c r="L3">
        <v>36000</v>
      </c>
      <c r="M3" s="1" t="s">
        <v>19</v>
      </c>
      <c r="N3" s="1" t="s">
        <v>20</v>
      </c>
      <c r="O3" t="s">
        <v>55</v>
      </c>
    </row>
    <row r="4" spans="1:15" x14ac:dyDescent="0.3">
      <c r="A4" s="1" t="s">
        <v>33</v>
      </c>
      <c r="B4" t="str">
        <f>_xlfn.XLOOKUP(A4,M2:M10,H2:H10,,,-1)</f>
        <v>Michael Scott</v>
      </c>
      <c r="E4">
        <v>1003</v>
      </c>
      <c r="F4" t="s">
        <v>21</v>
      </c>
      <c r="G4" t="s">
        <v>22</v>
      </c>
      <c r="H4" t="str">
        <f t="shared" si="0"/>
        <v>Dwight Schrute</v>
      </c>
      <c r="I4">
        <v>29</v>
      </c>
      <c r="J4" t="s">
        <v>11</v>
      </c>
      <c r="K4" t="s">
        <v>12</v>
      </c>
      <c r="L4">
        <v>63000</v>
      </c>
      <c r="M4" s="1" t="s">
        <v>23</v>
      </c>
      <c r="N4" s="1" t="s">
        <v>24</v>
      </c>
      <c r="O4" t="s">
        <v>56</v>
      </c>
    </row>
    <row r="5" spans="1:15" x14ac:dyDescent="0.3">
      <c r="E5">
        <v>1004</v>
      </c>
      <c r="F5" t="s">
        <v>25</v>
      </c>
      <c r="G5" t="s">
        <v>26</v>
      </c>
      <c r="H5" t="str">
        <f t="shared" si="0"/>
        <v>Angela Martin</v>
      </c>
      <c r="I5">
        <v>31</v>
      </c>
      <c r="J5" t="s">
        <v>17</v>
      </c>
      <c r="K5" t="s">
        <v>27</v>
      </c>
      <c r="L5">
        <v>47000</v>
      </c>
      <c r="M5" s="1" t="s">
        <v>28</v>
      </c>
      <c r="N5" s="1" t="s">
        <v>29</v>
      </c>
      <c r="O5" t="s">
        <v>57</v>
      </c>
    </row>
    <row r="6" spans="1:15" x14ac:dyDescent="0.3">
      <c r="E6">
        <v>1005</v>
      </c>
      <c r="F6" t="s">
        <v>30</v>
      </c>
      <c r="G6" t="s">
        <v>31</v>
      </c>
      <c r="H6" t="str">
        <f t="shared" si="0"/>
        <v>Toby Flenderson</v>
      </c>
      <c r="I6">
        <v>32</v>
      </c>
      <c r="J6" t="s">
        <v>11</v>
      </c>
      <c r="K6" t="s">
        <v>32</v>
      </c>
      <c r="L6">
        <v>50000</v>
      </c>
      <c r="M6" s="1" t="s">
        <v>33</v>
      </c>
      <c r="N6" s="1" t="s">
        <v>34</v>
      </c>
      <c r="O6" t="s">
        <v>58</v>
      </c>
    </row>
    <row r="7" spans="1:15" x14ac:dyDescent="0.3">
      <c r="E7">
        <v>1006</v>
      </c>
      <c r="F7" t="s">
        <v>35</v>
      </c>
      <c r="G7" t="s">
        <v>36</v>
      </c>
      <c r="H7" t="str">
        <f t="shared" si="0"/>
        <v>Michael Scott</v>
      </c>
      <c r="I7">
        <v>35</v>
      </c>
      <c r="J7" t="s">
        <v>11</v>
      </c>
      <c r="K7" t="s">
        <v>37</v>
      </c>
      <c r="L7">
        <v>65000</v>
      </c>
      <c r="M7" s="1" t="s">
        <v>33</v>
      </c>
      <c r="N7" s="1" t="s">
        <v>39</v>
      </c>
      <c r="O7" t="s">
        <v>59</v>
      </c>
    </row>
    <row r="8" spans="1:15" x14ac:dyDescent="0.3">
      <c r="E8">
        <v>1007</v>
      </c>
      <c r="F8" t="s">
        <v>40</v>
      </c>
      <c r="G8" t="s">
        <v>41</v>
      </c>
      <c r="H8" t="str">
        <f>CONCATENATE(F8," ",G8)</f>
        <v>Meredith Palmer</v>
      </c>
      <c r="I8">
        <v>32</v>
      </c>
      <c r="J8" t="s">
        <v>17</v>
      </c>
      <c r="K8" t="s">
        <v>42</v>
      </c>
      <c r="L8">
        <v>41000</v>
      </c>
      <c r="M8" s="1" t="s">
        <v>43</v>
      </c>
      <c r="N8" s="1" t="s">
        <v>44</v>
      </c>
      <c r="O8" t="s">
        <v>60</v>
      </c>
    </row>
    <row r="9" spans="1:15" x14ac:dyDescent="0.3">
      <c r="E9">
        <v>1008</v>
      </c>
      <c r="F9" t="s">
        <v>45</v>
      </c>
      <c r="G9" t="s">
        <v>46</v>
      </c>
      <c r="H9" t="str">
        <f t="shared" si="0"/>
        <v>Stanley Hudson</v>
      </c>
      <c r="I9">
        <v>38</v>
      </c>
      <c r="J9" t="s">
        <v>11</v>
      </c>
      <c r="K9" t="s">
        <v>12</v>
      </c>
      <c r="L9">
        <v>48000</v>
      </c>
      <c r="M9" s="1" t="s">
        <v>47</v>
      </c>
      <c r="N9" s="1" t="s">
        <v>48</v>
      </c>
      <c r="O9" t="s">
        <v>61</v>
      </c>
    </row>
    <row r="10" spans="1:15" x14ac:dyDescent="0.3">
      <c r="E10">
        <v>1009</v>
      </c>
      <c r="F10" t="s">
        <v>49</v>
      </c>
      <c r="G10" t="s">
        <v>50</v>
      </c>
      <c r="H10" t="str">
        <f t="shared" si="0"/>
        <v>Kevin Malone</v>
      </c>
      <c r="I10">
        <v>31</v>
      </c>
      <c r="J10" t="s">
        <v>11</v>
      </c>
      <c r="K10" t="s">
        <v>27</v>
      </c>
      <c r="L10">
        <v>42000</v>
      </c>
      <c r="M10" s="1" t="s">
        <v>51</v>
      </c>
      <c r="N10" s="1" t="s">
        <v>52</v>
      </c>
      <c r="O10" t="s">
        <v>62</v>
      </c>
    </row>
    <row r="22" spans="3:3" x14ac:dyDescent="0.3">
      <c r="C2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C42E-5556-48D6-8AC1-164AC0E30E56}">
  <dimension ref="A1:S4"/>
  <sheetViews>
    <sheetView zoomScale="86" workbookViewId="0">
      <selection activeCell="C11" sqref="C11"/>
    </sheetView>
  </sheetViews>
  <sheetFormatPr defaultRowHeight="14.4" x14ac:dyDescent="0.3"/>
  <cols>
    <col min="1" max="3" width="13.5546875" customWidth="1"/>
    <col min="7" max="19" width="13.77734375" customWidth="1"/>
  </cols>
  <sheetData>
    <row r="1" spans="1:19" x14ac:dyDescent="0.3">
      <c r="B1" t="s">
        <v>75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</row>
    <row r="2" spans="1:19" x14ac:dyDescent="0.3">
      <c r="A2" t="s">
        <v>86</v>
      </c>
      <c r="B2">
        <f>_xlfn.XLOOKUP(I1,H1:S1,H2:S2)</f>
        <v>310</v>
      </c>
      <c r="G2" t="s">
        <v>86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87</v>
      </c>
      <c r="B3">
        <f t="shared" ref="B3:B4" si="0">_xlfn.XLOOKUP(I2,H2:S2,H3:S3)</f>
        <v>40</v>
      </c>
      <c r="G3" t="s">
        <v>87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88</v>
      </c>
      <c r="B4">
        <f t="shared" si="0"/>
        <v>118</v>
      </c>
      <c r="G4" t="s">
        <v>88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410E-B665-4474-A9AB-E41F43FFA19A}">
  <dimension ref="A1:S7"/>
  <sheetViews>
    <sheetView zoomScale="86" workbookViewId="0">
      <selection activeCell="C11" sqref="C11"/>
    </sheetView>
  </sheetViews>
  <sheetFormatPr defaultRowHeight="14.4" x14ac:dyDescent="0.3"/>
  <cols>
    <col min="1" max="1" width="13.5546875" customWidth="1"/>
    <col min="2" max="2" width="15.6640625" customWidth="1"/>
    <col min="3" max="3" width="13.5546875" customWidth="1"/>
    <col min="7" max="19" width="13.77734375" customWidth="1"/>
  </cols>
  <sheetData>
    <row r="1" spans="1:19" x14ac:dyDescent="0.3">
      <c r="B1" t="s">
        <v>75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</row>
    <row r="2" spans="1:19" x14ac:dyDescent="0.3">
      <c r="A2" t="s">
        <v>86</v>
      </c>
      <c r="B2">
        <f>_xlfn.XLOOKUP(I1,H1:S1,H2:S2)</f>
        <v>310</v>
      </c>
      <c r="G2" t="s">
        <v>86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87</v>
      </c>
      <c r="B3">
        <f t="shared" ref="B3:B4" si="0">_xlfn.XLOOKUP(I2,H2:S2,H3:S3)</f>
        <v>40</v>
      </c>
      <c r="G3" t="s">
        <v>87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88</v>
      </c>
      <c r="B4">
        <f t="shared" si="0"/>
        <v>118</v>
      </c>
      <c r="G4" t="s">
        <v>88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89</v>
      </c>
    </row>
    <row r="7" spans="1:19" x14ac:dyDescent="0.3">
      <c r="A7" t="s">
        <v>86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0464-A716-488D-B0AE-710F4AFB6DC6}">
  <dimension ref="A1:P16"/>
  <sheetViews>
    <sheetView tabSelected="1" workbookViewId="0">
      <selection activeCell="B18" sqref="B18"/>
    </sheetView>
  </sheetViews>
  <sheetFormatPr defaultRowHeight="14.4" x14ac:dyDescent="0.3"/>
  <cols>
    <col min="1" max="2" width="34.44140625" customWidth="1"/>
    <col min="5" max="15" width="16.6640625" customWidth="1"/>
    <col min="16" max="16" width="40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63</v>
      </c>
      <c r="I1" t="s">
        <v>3</v>
      </c>
      <c r="J1" t="s">
        <v>4</v>
      </c>
      <c r="K1" t="s">
        <v>97</v>
      </c>
      <c r="L1" t="s">
        <v>5</v>
      </c>
      <c r="M1" t="s">
        <v>6</v>
      </c>
      <c r="N1" t="s">
        <v>7</v>
      </c>
      <c r="O1" t="s">
        <v>8</v>
      </c>
      <c r="P1" s="1" t="s">
        <v>53</v>
      </c>
    </row>
    <row r="2" spans="1:16" x14ac:dyDescent="0.3">
      <c r="A2" t="s">
        <v>90</v>
      </c>
      <c r="B2" t="s">
        <v>53</v>
      </c>
      <c r="E2">
        <v>1001</v>
      </c>
      <c r="F2" t="s">
        <v>9</v>
      </c>
      <c r="G2" t="s">
        <v>10</v>
      </c>
      <c r="H2" t="str">
        <f>CONCATENATE(F2," ",G2)</f>
        <v>Jim Halpert</v>
      </c>
      <c r="I2">
        <v>30</v>
      </c>
      <c r="J2" t="s">
        <v>11</v>
      </c>
      <c r="L2" t="s">
        <v>12</v>
      </c>
      <c r="M2">
        <v>45000</v>
      </c>
      <c r="N2" s="1" t="s">
        <v>13</v>
      </c>
      <c r="O2" s="1" t="s">
        <v>14</v>
      </c>
      <c r="P2" t="s">
        <v>54</v>
      </c>
    </row>
    <row r="3" spans="1:16" x14ac:dyDescent="0.3">
      <c r="A3" t="s">
        <v>91</v>
      </c>
      <c r="B3" t="str">
        <f>VLOOKUP(A3,H2:P10,8,FALSE)</f>
        <v>9/8/2017</v>
      </c>
      <c r="E3">
        <v>1002</v>
      </c>
      <c r="F3" t="s">
        <v>15</v>
      </c>
      <c r="G3" t="s">
        <v>16</v>
      </c>
      <c r="H3" t="str">
        <f t="shared" ref="H3:H10" si="0">CONCATENATE(F3," ",G3)</f>
        <v>Pam Beasley</v>
      </c>
      <c r="I3">
        <v>30</v>
      </c>
      <c r="J3" t="s">
        <v>17</v>
      </c>
      <c r="L3" t="s">
        <v>18</v>
      </c>
      <c r="M3">
        <v>36000</v>
      </c>
      <c r="N3" s="1" t="s">
        <v>19</v>
      </c>
      <c r="O3" s="1" t="s">
        <v>20</v>
      </c>
      <c r="P3" t="s">
        <v>55</v>
      </c>
    </row>
    <row r="4" spans="1:16" x14ac:dyDescent="0.3">
      <c r="A4" t="s">
        <v>92</v>
      </c>
      <c r="B4" t="str">
        <f>VLOOKUP(A4,H3:P11,8,FALSE)</f>
        <v>9/11/2013</v>
      </c>
      <c r="E4">
        <v>1003</v>
      </c>
      <c r="F4" t="s">
        <v>21</v>
      </c>
      <c r="G4" t="s">
        <v>22</v>
      </c>
      <c r="H4" t="str">
        <f t="shared" si="0"/>
        <v>Dwight Schrute</v>
      </c>
      <c r="I4">
        <v>29</v>
      </c>
      <c r="J4" t="s">
        <v>11</v>
      </c>
      <c r="L4" t="s">
        <v>12</v>
      </c>
      <c r="M4">
        <v>63000</v>
      </c>
      <c r="N4" s="1" t="s">
        <v>23</v>
      </c>
      <c r="O4" s="1" t="s">
        <v>24</v>
      </c>
      <c r="P4" t="s">
        <v>56</v>
      </c>
    </row>
    <row r="5" spans="1:16" x14ac:dyDescent="0.3">
      <c r="A5" t="s">
        <v>93</v>
      </c>
      <c r="B5" t="str">
        <f>VLOOKUP(A5,H4:P12,8,FALSE)</f>
        <v>4/22/2105</v>
      </c>
      <c r="E5">
        <v>1004</v>
      </c>
      <c r="F5" t="s">
        <v>25</v>
      </c>
      <c r="G5" t="s">
        <v>26</v>
      </c>
      <c r="H5" t="str">
        <f t="shared" si="0"/>
        <v>Angela Martin</v>
      </c>
      <c r="I5">
        <v>31</v>
      </c>
      <c r="J5" t="s">
        <v>17</v>
      </c>
      <c r="L5" t="s">
        <v>27</v>
      </c>
      <c r="M5">
        <v>47000</v>
      </c>
      <c r="N5" s="1" t="s">
        <v>28</v>
      </c>
      <c r="O5" s="1" t="s">
        <v>29</v>
      </c>
      <c r="P5" t="s">
        <v>57</v>
      </c>
    </row>
    <row r="6" spans="1:16" x14ac:dyDescent="0.3">
      <c r="E6">
        <v>1005</v>
      </c>
      <c r="F6" t="s">
        <v>30</v>
      </c>
      <c r="G6" t="s">
        <v>31</v>
      </c>
      <c r="H6" t="str">
        <f t="shared" si="0"/>
        <v>Toby Flenderson</v>
      </c>
      <c r="I6">
        <v>32</v>
      </c>
      <c r="J6" t="s">
        <v>11</v>
      </c>
      <c r="L6" t="s">
        <v>32</v>
      </c>
      <c r="M6">
        <v>50000</v>
      </c>
      <c r="N6" s="1" t="s">
        <v>33</v>
      </c>
      <c r="O6" s="1" t="s">
        <v>34</v>
      </c>
      <c r="P6" t="s">
        <v>58</v>
      </c>
    </row>
    <row r="7" spans="1:16" x14ac:dyDescent="0.3">
      <c r="B7" t="s">
        <v>94</v>
      </c>
      <c r="E7">
        <v>1006</v>
      </c>
      <c r="F7" t="s">
        <v>35</v>
      </c>
      <c r="G7" t="s">
        <v>36</v>
      </c>
      <c r="H7" t="str">
        <f t="shared" si="0"/>
        <v>Michael Scott</v>
      </c>
      <c r="I7">
        <v>35</v>
      </c>
      <c r="J7" t="s">
        <v>11</v>
      </c>
      <c r="L7" t="s">
        <v>37</v>
      </c>
      <c r="M7">
        <v>65000</v>
      </c>
      <c r="N7" s="1" t="s">
        <v>33</v>
      </c>
      <c r="O7" s="1" t="s">
        <v>39</v>
      </c>
      <c r="P7" t="s">
        <v>59</v>
      </c>
    </row>
    <row r="8" spans="1:16" x14ac:dyDescent="0.3">
      <c r="E8">
        <v>1007</v>
      </c>
      <c r="F8" t="s">
        <v>40</v>
      </c>
      <c r="G8" t="s">
        <v>41</v>
      </c>
      <c r="H8" t="str">
        <f>CONCATENATE(F8," ",G8)</f>
        <v>Meredith Palmer</v>
      </c>
      <c r="I8">
        <v>32</v>
      </c>
      <c r="J8" t="s">
        <v>17</v>
      </c>
      <c r="L8" t="s">
        <v>42</v>
      </c>
      <c r="M8">
        <v>41000</v>
      </c>
      <c r="N8" s="1" t="s">
        <v>43</v>
      </c>
      <c r="O8" s="1" t="s">
        <v>44</v>
      </c>
      <c r="P8" t="s">
        <v>60</v>
      </c>
    </row>
    <row r="9" spans="1:16" x14ac:dyDescent="0.3">
      <c r="A9" t="s">
        <v>90</v>
      </c>
      <c r="B9" t="s">
        <v>53</v>
      </c>
      <c r="E9">
        <v>1008</v>
      </c>
      <c r="F9" t="s">
        <v>45</v>
      </c>
      <c r="G9" t="s">
        <v>46</v>
      </c>
      <c r="H9" t="str">
        <f t="shared" si="0"/>
        <v>Stanley Hudson</v>
      </c>
      <c r="I9">
        <v>38</v>
      </c>
      <c r="J9" t="s">
        <v>11</v>
      </c>
      <c r="L9" t="s">
        <v>12</v>
      </c>
      <c r="M9">
        <v>48000</v>
      </c>
      <c r="N9" s="1" t="s">
        <v>47</v>
      </c>
      <c r="O9" s="1" t="s">
        <v>48</v>
      </c>
      <c r="P9" t="s">
        <v>61</v>
      </c>
    </row>
    <row r="10" spans="1:16" x14ac:dyDescent="0.3">
      <c r="A10" t="s">
        <v>91</v>
      </c>
      <c r="B10" t="str">
        <f>_xlfn.XLOOKUP(A10,H2:H10,P2:P10)</f>
        <v>Dwight.Schrute@AOL.com</v>
      </c>
      <c r="E10">
        <v>1009</v>
      </c>
      <c r="F10" t="s">
        <v>49</v>
      </c>
      <c r="G10" t="s">
        <v>50</v>
      </c>
      <c r="H10" t="str">
        <f t="shared" si="0"/>
        <v>Kevin Malone</v>
      </c>
      <c r="I10">
        <v>31</v>
      </c>
      <c r="J10" t="s">
        <v>11</v>
      </c>
      <c r="L10" t="s">
        <v>27</v>
      </c>
      <c r="M10">
        <v>42000</v>
      </c>
      <c r="N10" s="1" t="s">
        <v>51</v>
      </c>
      <c r="O10" s="1" t="s">
        <v>52</v>
      </c>
      <c r="P10" t="s">
        <v>62</v>
      </c>
    </row>
    <row r="11" spans="1:16" x14ac:dyDescent="0.3">
      <c r="A11" t="s">
        <v>92</v>
      </c>
      <c r="B11" t="str">
        <f t="shared" ref="B11:B12" si="1">_xlfn.XLOOKUP(A11,H3:H11,P3:P11)</f>
        <v>Michael.Scott@DunderMifflin.com</v>
      </c>
    </row>
    <row r="12" spans="1:16" x14ac:dyDescent="0.3">
      <c r="A12" t="s">
        <v>93</v>
      </c>
      <c r="B12" t="str">
        <f t="shared" si="1"/>
        <v>Stanley.Hudson@gmail.com</v>
      </c>
    </row>
    <row r="14" spans="1:16" x14ac:dyDescent="0.3">
      <c r="B14" t="s">
        <v>95</v>
      </c>
    </row>
    <row r="16" spans="1:16" x14ac:dyDescent="0.3">
      <c r="B1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Bhasin</dc:creator>
  <cp:lastModifiedBy>Khushi Bhasin</cp:lastModifiedBy>
  <dcterms:created xsi:type="dcterms:W3CDTF">2026-07-25T06:55:54Z</dcterms:created>
  <dcterms:modified xsi:type="dcterms:W3CDTF">2026-07-26T08:57:23Z</dcterms:modified>
</cp:coreProperties>
</file>